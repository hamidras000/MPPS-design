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1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midrezaasaadian/Downloads/"/>
    </mc:Choice>
  </mc:AlternateContent>
  <xr:revisionPtr revIDLastSave="0" documentId="13_ncr:1_{0E52D7A1-6F84-3A47-986B-6F7A5CFC4518}" xr6:coauthVersionLast="47" xr6:coauthVersionMax="47" xr10:uidLastSave="{00000000-0000-0000-0000-000000000000}"/>
  <bookViews>
    <workbookView xWindow="4720" yWindow="3420" windowWidth="35840" windowHeight="20320" tabRatio="911" xr2:uid="{754FDAB9-7305-4F4C-8081-434CD4F3FEBA}"/>
  </bookViews>
  <sheets>
    <sheet name="Tapping design" sheetId="58" r:id="rId1"/>
    <sheet name="Interpolation T1" sheetId="62" r:id="rId2"/>
    <sheet name="Interpolation T2" sheetId="61" r:id="rId3"/>
    <sheet name="Interpolation T3" sheetId="60" r:id="rId4"/>
  </sheets>
  <definedNames>
    <definedName name="solver_adj" localSheetId="0" hidden="1">'Tapping design'!$E$46</definedName>
    <definedName name="solver_cvg" localSheetId="0" hidden="1">0.0001</definedName>
    <definedName name="solver_drv" localSheetId="0" hidden="1">2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'Tapping design'!$K$56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'Tapping design'!$I$55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hs1" localSheetId="0" hidden="1">30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80</definedName>
    <definedName name="solver_ver" localSheetId="0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58" l="1"/>
  <c r="I3" i="58"/>
  <c r="J3" i="58" s="1"/>
  <c r="I87" i="58"/>
  <c r="M87" i="58" s="1"/>
  <c r="I46" i="58"/>
  <c r="M120" i="58"/>
  <c r="M119" i="58"/>
  <c r="M118" i="58"/>
  <c r="M117" i="58"/>
  <c r="M116" i="58"/>
  <c r="M115" i="58"/>
  <c r="M114" i="58"/>
  <c r="M113" i="58"/>
  <c r="M112" i="58"/>
  <c r="M111" i="58"/>
  <c r="M110" i="58"/>
  <c r="M109" i="58"/>
  <c r="M108" i="58"/>
  <c r="M107" i="58"/>
  <c r="M106" i="58"/>
  <c r="M105" i="58"/>
  <c r="M104" i="58"/>
  <c r="M103" i="58"/>
  <c r="M102" i="58"/>
  <c r="M101" i="58"/>
  <c r="M100" i="58"/>
  <c r="I120" i="58"/>
  <c r="I119" i="58"/>
  <c r="I118" i="58"/>
  <c r="I117" i="58"/>
  <c r="I116" i="58"/>
  <c r="I115" i="58"/>
  <c r="I114" i="58"/>
  <c r="I113" i="58"/>
  <c r="I112" i="58"/>
  <c r="I111" i="58"/>
  <c r="I110" i="58"/>
  <c r="I109" i="58"/>
  <c r="I108" i="58"/>
  <c r="I107" i="58"/>
  <c r="I106" i="58"/>
  <c r="I105" i="58"/>
  <c r="I104" i="58"/>
  <c r="I103" i="58"/>
  <c r="I102" i="58"/>
  <c r="I101" i="58"/>
  <c r="I100" i="58"/>
  <c r="E120" i="58"/>
  <c r="E119" i="58"/>
  <c r="E118" i="58"/>
  <c r="E117" i="58"/>
  <c r="E116" i="58"/>
  <c r="E115" i="58"/>
  <c r="E114" i="58"/>
  <c r="E113" i="58"/>
  <c r="E112" i="58"/>
  <c r="E111" i="58"/>
  <c r="E110" i="58"/>
  <c r="E109" i="58"/>
  <c r="E108" i="58"/>
  <c r="E107" i="58"/>
  <c r="E106" i="58"/>
  <c r="E105" i="58"/>
  <c r="E104" i="58"/>
  <c r="E103" i="58"/>
  <c r="E102" i="58"/>
  <c r="E101" i="58"/>
  <c r="E100" i="58"/>
  <c r="I79" i="58"/>
  <c r="I78" i="58"/>
  <c r="I77" i="58"/>
  <c r="I76" i="58"/>
  <c r="I75" i="58"/>
  <c r="I74" i="58"/>
  <c r="I73" i="58"/>
  <c r="I72" i="58"/>
  <c r="I71" i="58"/>
  <c r="I70" i="58"/>
  <c r="I69" i="58"/>
  <c r="I68" i="58"/>
  <c r="I67" i="58"/>
  <c r="I66" i="58"/>
  <c r="I65" i="58"/>
  <c r="I64" i="58"/>
  <c r="I63" i="58"/>
  <c r="I62" i="58"/>
  <c r="I61" i="58"/>
  <c r="I60" i="58"/>
  <c r="I59" i="58"/>
  <c r="E79" i="58"/>
  <c r="E60" i="58"/>
  <c r="E61" i="58"/>
  <c r="E62" i="58"/>
  <c r="E63" i="58"/>
  <c r="E64" i="58"/>
  <c r="E65" i="58"/>
  <c r="E66" i="58"/>
  <c r="E67" i="58"/>
  <c r="E68" i="58"/>
  <c r="E69" i="58"/>
  <c r="E70" i="58"/>
  <c r="E71" i="58"/>
  <c r="E72" i="58"/>
  <c r="E73" i="58"/>
  <c r="E74" i="58"/>
  <c r="E75" i="58"/>
  <c r="E76" i="58"/>
  <c r="E77" i="58"/>
  <c r="E78" i="58"/>
  <c r="E59" i="58"/>
  <c r="C31" i="62"/>
  <c r="K31" i="62" s="1"/>
  <c r="C30" i="62"/>
  <c r="H30" i="62" s="1"/>
  <c r="E43" i="58"/>
  <c r="C30" i="61" s="1"/>
  <c r="E85" i="58"/>
  <c r="C31" i="60" s="1"/>
  <c r="K31" i="60" s="1"/>
  <c r="E84" i="58"/>
  <c r="C30" i="60" s="1"/>
  <c r="E30" i="60" s="1"/>
  <c r="E44" i="58"/>
  <c r="C31" i="61" s="1"/>
  <c r="H31" i="61" s="1"/>
  <c r="F30" i="62" l="1"/>
  <c r="J30" i="62" s="1"/>
  <c r="E31" i="60"/>
  <c r="F31" i="60"/>
  <c r="G30" i="62"/>
  <c r="K30" i="62"/>
  <c r="F31" i="62"/>
  <c r="E31" i="62"/>
  <c r="G31" i="62"/>
  <c r="H31" i="62"/>
  <c r="H32" i="62" s="1"/>
  <c r="H35" i="62" s="1" a="1"/>
  <c r="J31" i="62"/>
  <c r="E30" i="62"/>
  <c r="F31" i="61"/>
  <c r="J31" i="61"/>
  <c r="K31" i="61"/>
  <c r="G31" i="61"/>
  <c r="F30" i="61"/>
  <c r="G30" i="61"/>
  <c r="H30" i="61"/>
  <c r="E31" i="61"/>
  <c r="E30" i="61"/>
  <c r="G31" i="60"/>
  <c r="H31" i="60"/>
  <c r="J31" i="60"/>
  <c r="E51" i="58"/>
  <c r="E50" i="58" s="1"/>
  <c r="H35" i="62" l="1"/>
  <c r="F32" i="62"/>
  <c r="F35" i="62" s="1" a="1"/>
  <c r="E32" i="62"/>
  <c r="E35" i="62" s="1" a="1"/>
  <c r="E35" i="62" s="1"/>
  <c r="G32" i="62"/>
  <c r="G35" i="62" s="1" a="1"/>
  <c r="K44" i="62" s="1"/>
  <c r="G32" i="61"/>
  <c r="G35" i="61" s="1" a="1"/>
  <c r="G35" i="61" s="1"/>
  <c r="E32" i="61"/>
  <c r="E35" i="61" s="1" a="1"/>
  <c r="E35" i="61" s="1"/>
  <c r="K30" i="61"/>
  <c r="H32" i="61"/>
  <c r="H35" i="61" s="1" a="1"/>
  <c r="F32" i="61"/>
  <c r="F35" i="61" s="1" a="1"/>
  <c r="J30" i="61"/>
  <c r="E92" i="58"/>
  <c r="E91" i="58" s="1"/>
  <c r="K37" i="62" l="1"/>
  <c r="K39" i="62"/>
  <c r="K54" i="62"/>
  <c r="K40" i="62"/>
  <c r="K52" i="62"/>
  <c r="K42" i="62"/>
  <c r="K53" i="62"/>
  <c r="K41" i="62"/>
  <c r="K36" i="62"/>
  <c r="K51" i="62"/>
  <c r="K38" i="62"/>
  <c r="K49" i="62"/>
  <c r="K50" i="62"/>
  <c r="K45" i="62"/>
  <c r="K46" i="62"/>
  <c r="K48" i="62"/>
  <c r="K55" i="62"/>
  <c r="K43" i="62"/>
  <c r="K47" i="62"/>
  <c r="J37" i="61"/>
  <c r="J53" i="61"/>
  <c r="J38" i="61"/>
  <c r="J54" i="61"/>
  <c r="J45" i="61"/>
  <c r="J51" i="61"/>
  <c r="J52" i="61"/>
  <c r="J39" i="61"/>
  <c r="J55" i="61"/>
  <c r="J40" i="61"/>
  <c r="J48" i="61"/>
  <c r="J49" i="61"/>
  <c r="J41" i="61"/>
  <c r="J44" i="61"/>
  <c r="J46" i="61"/>
  <c r="J50" i="61"/>
  <c r="J42" i="61"/>
  <c r="J43" i="61"/>
  <c r="J47" i="61"/>
  <c r="J36" i="61"/>
  <c r="K47" i="61"/>
  <c r="K48" i="61"/>
  <c r="K44" i="61"/>
  <c r="K49" i="61"/>
  <c r="K53" i="61"/>
  <c r="K55" i="61"/>
  <c r="K42" i="61"/>
  <c r="K50" i="61"/>
  <c r="K40" i="61"/>
  <c r="K51" i="61"/>
  <c r="K37" i="61"/>
  <c r="K38" i="61"/>
  <c r="K39" i="61"/>
  <c r="K41" i="61"/>
  <c r="K36" i="61"/>
  <c r="K52" i="61"/>
  <c r="K54" i="61"/>
  <c r="K46" i="61"/>
  <c r="K45" i="61"/>
  <c r="K43" i="61"/>
  <c r="F35" i="62"/>
  <c r="J35" i="62" s="1"/>
  <c r="J43" i="62"/>
  <c r="J44" i="62"/>
  <c r="J39" i="62"/>
  <c r="J40" i="62"/>
  <c r="J42" i="62"/>
  <c r="J45" i="62"/>
  <c r="J36" i="62"/>
  <c r="J41" i="62"/>
  <c r="J46" i="62"/>
  <c r="J49" i="62"/>
  <c r="J50" i="62"/>
  <c r="J47" i="62"/>
  <c r="J51" i="62"/>
  <c r="J48" i="62"/>
  <c r="J52" i="62"/>
  <c r="J54" i="62"/>
  <c r="C54" i="62" s="1"/>
  <c r="J53" i="62"/>
  <c r="J37" i="62"/>
  <c r="J55" i="62"/>
  <c r="J38" i="62"/>
  <c r="G35" i="62"/>
  <c r="K35" i="62" s="1"/>
  <c r="F35" i="61"/>
  <c r="J35" i="61" s="1"/>
  <c r="H35" i="61"/>
  <c r="K35" i="61" s="1"/>
  <c r="C45" i="62" l="1"/>
  <c r="C47" i="62"/>
  <c r="C36" i="61"/>
  <c r="D60" i="58" s="1"/>
  <c r="C35" i="61"/>
  <c r="C48" i="61"/>
  <c r="C49" i="62"/>
  <c r="D33" i="58" s="1"/>
  <c r="C36" i="62"/>
  <c r="D20" i="58" s="1"/>
  <c r="C45" i="61"/>
  <c r="C37" i="61"/>
  <c r="D61" i="58" s="1"/>
  <c r="C51" i="62"/>
  <c r="D35" i="58" s="1"/>
  <c r="C52" i="61"/>
  <c r="D76" i="58" s="1"/>
  <c r="C54" i="61"/>
  <c r="D78" i="58" s="1"/>
  <c r="C46" i="61"/>
  <c r="C44" i="61"/>
  <c r="C42" i="61"/>
  <c r="C38" i="61"/>
  <c r="D62" i="58" s="1"/>
  <c r="C41" i="61"/>
  <c r="C39" i="61"/>
  <c r="D63" i="58" s="1"/>
  <c r="C55" i="61"/>
  <c r="D79" i="58" s="1"/>
  <c r="C55" i="62"/>
  <c r="C47" i="61"/>
  <c r="C51" i="61"/>
  <c r="D75" i="58" s="1"/>
  <c r="C53" i="61"/>
  <c r="D77" i="58" s="1"/>
  <c r="C43" i="61"/>
  <c r="C50" i="61"/>
  <c r="C49" i="61"/>
  <c r="C40" i="61"/>
  <c r="C38" i="62"/>
  <c r="D22" i="58" s="1"/>
  <c r="C53" i="62"/>
  <c r="D37" i="58" s="1"/>
  <c r="C37" i="62"/>
  <c r="D21" i="58" s="1"/>
  <c r="C52" i="62"/>
  <c r="D36" i="58" s="1"/>
  <c r="C46" i="62"/>
  <c r="C39" i="62"/>
  <c r="D23" i="58" s="1"/>
  <c r="C43" i="62"/>
  <c r="C48" i="62"/>
  <c r="C50" i="62"/>
  <c r="C41" i="62"/>
  <c r="C40" i="62"/>
  <c r="C42" i="62"/>
  <c r="C44" i="62"/>
  <c r="D28" i="58" s="1"/>
  <c r="D38" i="58"/>
  <c r="E11" i="58"/>
  <c r="D67" i="58" l="1"/>
  <c r="D59" i="58"/>
  <c r="D68" i="58"/>
  <c r="C35" i="62"/>
  <c r="D19" i="58" s="1"/>
  <c r="D74" i="58"/>
  <c r="D27" i="58"/>
  <c r="D30" i="58"/>
  <c r="D72" i="58"/>
  <c r="D73" i="58"/>
  <c r="D69" i="58"/>
  <c r="D65" i="58"/>
  <c r="D70" i="58"/>
  <c r="D71" i="58"/>
  <c r="D64" i="58"/>
  <c r="D66" i="58"/>
  <c r="D32" i="58"/>
  <c r="D25" i="58"/>
  <c r="D31" i="58"/>
  <c r="D26" i="58"/>
  <c r="E10" i="58"/>
  <c r="E12" i="58"/>
  <c r="E15" i="58"/>
  <c r="E48" i="58" l="1" a="1"/>
  <c r="E48" i="58" s="1"/>
  <c r="E47" i="58" s="1"/>
  <c r="E52" i="58" s="1"/>
  <c r="D24" i="58"/>
  <c r="D29" i="58"/>
  <c r="D39" i="58"/>
  <c r="D34" i="58"/>
  <c r="E55" i="58" l="1"/>
  <c r="H4" i="58" s="1"/>
  <c r="I51" i="58"/>
  <c r="E32" i="60" l="1"/>
  <c r="H30" i="60"/>
  <c r="H32" i="60" s="1"/>
  <c r="H35" i="60" s="1" a="1"/>
  <c r="F30" i="60"/>
  <c r="F32" i="60" s="1"/>
  <c r="F35" i="60" s="1" a="1"/>
  <c r="G30" i="60"/>
  <c r="G32" i="60" s="1"/>
  <c r="G35" i="60" s="1" a="1"/>
  <c r="H35" i="60" l="1"/>
  <c r="K36" i="60"/>
  <c r="K52" i="60"/>
  <c r="K37" i="60"/>
  <c r="K53" i="60"/>
  <c r="K45" i="60"/>
  <c r="K48" i="60"/>
  <c r="K38" i="60"/>
  <c r="K54" i="60"/>
  <c r="K43" i="60"/>
  <c r="K46" i="60"/>
  <c r="K39" i="60"/>
  <c r="K55" i="60"/>
  <c r="K40" i="60"/>
  <c r="K51" i="60"/>
  <c r="K41" i="60"/>
  <c r="K42" i="60"/>
  <c r="K44" i="60"/>
  <c r="K47" i="60"/>
  <c r="K49" i="60"/>
  <c r="K50" i="60"/>
  <c r="J30" i="60"/>
  <c r="K30" i="60"/>
  <c r="G35" i="60"/>
  <c r="F35" i="60"/>
  <c r="E35" i="60" a="1"/>
  <c r="J52" i="60" s="1"/>
  <c r="J50" i="60" l="1"/>
  <c r="J49" i="60"/>
  <c r="J38" i="60"/>
  <c r="J36" i="60"/>
  <c r="J51" i="60"/>
  <c r="C51" i="60" s="1"/>
  <c r="J40" i="60"/>
  <c r="C40" i="60" s="1"/>
  <c r="J42" i="60"/>
  <c r="C42" i="60" s="1"/>
  <c r="J48" i="60"/>
  <c r="C48" i="60" s="1"/>
  <c r="J53" i="60"/>
  <c r="C53" i="60" s="1"/>
  <c r="J35" i="60"/>
  <c r="J39" i="60"/>
  <c r="C39" i="60" s="1"/>
  <c r="J47" i="60"/>
  <c r="C47" i="60" s="1"/>
  <c r="J44" i="60"/>
  <c r="C44" i="60" s="1"/>
  <c r="J43" i="60"/>
  <c r="C43" i="60" s="1"/>
  <c r="J37" i="60"/>
  <c r="C37" i="60" s="1"/>
  <c r="J45" i="60"/>
  <c r="C45" i="60" s="1"/>
  <c r="J41" i="60"/>
  <c r="J55" i="60"/>
  <c r="C55" i="60" s="1"/>
  <c r="J54" i="60"/>
  <c r="C54" i="60" s="1"/>
  <c r="J46" i="60"/>
  <c r="C46" i="60" s="1"/>
  <c r="K35" i="60"/>
  <c r="E35" i="60"/>
  <c r="C49" i="60"/>
  <c r="C50" i="60"/>
  <c r="C41" i="60"/>
  <c r="C36" i="60"/>
  <c r="C52" i="60"/>
  <c r="C38" i="60"/>
  <c r="C35" i="60" l="1"/>
  <c r="D100" i="58" s="1"/>
  <c r="D117" i="58"/>
  <c r="D118" i="58"/>
  <c r="D102" i="58"/>
  <c r="D108" i="58"/>
  <c r="D112" i="58"/>
  <c r="D109" i="58"/>
  <c r="D104" i="58"/>
  <c r="D116" i="58"/>
  <c r="D114" i="58"/>
  <c r="E8" i="58"/>
  <c r="E13" i="58" s="1"/>
  <c r="E16" i="58" s="1"/>
  <c r="H9" i="58" s="1"/>
  <c r="I9" i="58" s="1"/>
  <c r="J9" i="58" s="1"/>
  <c r="D106" i="58"/>
  <c r="D119" i="58"/>
  <c r="D101" i="58"/>
  <c r="D113" i="58"/>
  <c r="D103" i="58"/>
  <c r="D111" i="58"/>
  <c r="D107" i="58"/>
  <c r="D120" i="58" l="1"/>
  <c r="D105" i="58"/>
  <c r="D115" i="58"/>
  <c r="D110" i="58"/>
  <c r="G16" i="58"/>
  <c r="E53" i="58"/>
  <c r="E89" i="58" l="1" a="1"/>
  <c r="E89" i="58" s="1"/>
  <c r="E88" i="58" s="1"/>
  <c r="E56" i="58"/>
  <c r="H10" i="58" s="1"/>
  <c r="I50" i="58"/>
  <c r="I43" i="58" s="1"/>
  <c r="E93" i="58" l="1"/>
  <c r="E96" i="58"/>
  <c r="H5" i="58" s="1"/>
  <c r="C58" i="61"/>
  <c r="I44" i="58"/>
  <c r="I92" i="58" l="1"/>
  <c r="E94" i="58"/>
  <c r="C59" i="61"/>
  <c r="I91" i="58" l="1"/>
  <c r="I84" i="58" s="1"/>
  <c r="E97" i="58"/>
  <c r="H11" i="58" s="1"/>
  <c r="H59" i="61"/>
  <c r="G59" i="61"/>
  <c r="E59" i="61"/>
  <c r="F59" i="61"/>
  <c r="K59" i="61"/>
  <c r="J59" i="61"/>
  <c r="E58" i="61"/>
  <c r="F58" i="61"/>
  <c r="H58" i="61"/>
  <c r="G58" i="61"/>
  <c r="C58" i="60" l="1"/>
  <c r="I85" i="58"/>
  <c r="E60" i="61"/>
  <c r="E63" i="61" s="1" a="1"/>
  <c r="E63" i="61" s="1"/>
  <c r="G60" i="61"/>
  <c r="G63" i="61" s="1" a="1"/>
  <c r="G63" i="61" s="1"/>
  <c r="F60" i="61"/>
  <c r="F63" i="61" s="1" a="1"/>
  <c r="F63" i="61" s="1"/>
  <c r="J58" i="61"/>
  <c r="H60" i="61"/>
  <c r="H63" i="61" s="1" a="1"/>
  <c r="H63" i="61" s="1"/>
  <c r="K58" i="61"/>
  <c r="J63" i="61" l="1"/>
  <c r="K63" i="61"/>
  <c r="K69" i="61"/>
  <c r="K75" i="61"/>
  <c r="K79" i="61"/>
  <c r="K77" i="61"/>
  <c r="K72" i="61"/>
  <c r="K68" i="61"/>
  <c r="K73" i="61"/>
  <c r="K71" i="61"/>
  <c r="K66" i="61"/>
  <c r="K64" i="61"/>
  <c r="K81" i="61"/>
  <c r="K83" i="61"/>
  <c r="K67" i="61"/>
  <c r="K80" i="61"/>
  <c r="K78" i="61"/>
  <c r="K82" i="61"/>
  <c r="K76" i="61"/>
  <c r="K74" i="61"/>
  <c r="K70" i="61"/>
  <c r="K65" i="61"/>
  <c r="J67" i="61"/>
  <c r="J72" i="61"/>
  <c r="J71" i="61"/>
  <c r="J68" i="61"/>
  <c r="J83" i="61"/>
  <c r="J79" i="61"/>
  <c r="C79" i="61" s="1"/>
  <c r="J73" i="61"/>
  <c r="J82" i="61"/>
  <c r="J66" i="61"/>
  <c r="J78" i="61"/>
  <c r="C78" i="61" s="1"/>
  <c r="J74" i="61"/>
  <c r="J80" i="61"/>
  <c r="J76" i="61"/>
  <c r="J70" i="61"/>
  <c r="J81" i="61"/>
  <c r="J69" i="61"/>
  <c r="C69" i="61" s="1"/>
  <c r="J65" i="61"/>
  <c r="J77" i="61"/>
  <c r="J75" i="61"/>
  <c r="C75" i="61" s="1"/>
  <c r="J64" i="61"/>
  <c r="C59" i="60"/>
  <c r="G58" i="60"/>
  <c r="F58" i="60"/>
  <c r="J58" i="60" s="1"/>
  <c r="H58" i="60"/>
  <c r="K58" i="60" s="1"/>
  <c r="E58" i="60"/>
  <c r="C63" i="61" l="1"/>
  <c r="H59" i="58" s="1"/>
  <c r="C76" i="61"/>
  <c r="C65" i="61"/>
  <c r="C82" i="61"/>
  <c r="C70" i="61"/>
  <c r="H66" i="58" s="1"/>
  <c r="C72" i="61"/>
  <c r="H68" i="58" s="1"/>
  <c r="C77" i="61"/>
  <c r="H73" i="58" s="1"/>
  <c r="C68" i="61"/>
  <c r="C66" i="61"/>
  <c r="H62" i="58" s="1"/>
  <c r="C73" i="61"/>
  <c r="H69" i="58" s="1"/>
  <c r="C74" i="61"/>
  <c r="H70" i="58" s="1"/>
  <c r="C64" i="61"/>
  <c r="H60" i="58" s="1"/>
  <c r="C71" i="61"/>
  <c r="H67" i="58" s="1"/>
  <c r="C67" i="61"/>
  <c r="H63" i="58" s="1"/>
  <c r="C83" i="61"/>
  <c r="H79" i="58" s="1"/>
  <c r="C81" i="61"/>
  <c r="H77" i="58" s="1"/>
  <c r="C80" i="61"/>
  <c r="H76" i="58" s="1"/>
  <c r="K59" i="60"/>
  <c r="G59" i="60"/>
  <c r="G60" i="60" s="1"/>
  <c r="G63" i="60" s="1" a="1"/>
  <c r="G63" i="60" s="1"/>
  <c r="F59" i="60"/>
  <c r="F60" i="60" s="1"/>
  <c r="F63" i="60" s="1" a="1"/>
  <c r="F63" i="60" s="1"/>
  <c r="E59" i="60"/>
  <c r="E60" i="60" s="1"/>
  <c r="E63" i="60" s="1" a="1"/>
  <c r="E63" i="60" s="1"/>
  <c r="H59" i="60"/>
  <c r="H60" i="60" s="1"/>
  <c r="H63" i="60" s="1" a="1"/>
  <c r="H63" i="60" s="1"/>
  <c r="J59" i="60"/>
  <c r="H65" i="58"/>
  <c r="H71" i="58"/>
  <c r="H78" i="58"/>
  <c r="H61" i="58"/>
  <c r="H75" i="58"/>
  <c r="H72" i="58"/>
  <c r="K64" i="60" l="1"/>
  <c r="K80" i="60"/>
  <c r="K65" i="60"/>
  <c r="K81" i="60"/>
  <c r="K66" i="60"/>
  <c r="K82" i="60"/>
  <c r="K67" i="60"/>
  <c r="K83" i="60"/>
  <c r="K76" i="60"/>
  <c r="K78" i="60"/>
  <c r="K68" i="60"/>
  <c r="K69" i="60"/>
  <c r="K74" i="60"/>
  <c r="K70" i="60"/>
  <c r="K73" i="60"/>
  <c r="K71" i="60"/>
  <c r="K72" i="60"/>
  <c r="K75" i="60"/>
  <c r="K77" i="60"/>
  <c r="K79" i="60"/>
  <c r="K63" i="60"/>
  <c r="J64" i="60"/>
  <c r="J80" i="60"/>
  <c r="C80" i="60" s="1"/>
  <c r="J65" i="60"/>
  <c r="C65" i="60" s="1"/>
  <c r="J81" i="60"/>
  <c r="C81" i="60" s="1"/>
  <c r="J66" i="60"/>
  <c r="J82" i="60"/>
  <c r="J67" i="60"/>
  <c r="J83" i="60"/>
  <c r="C83" i="60" s="1"/>
  <c r="J68" i="60"/>
  <c r="J69" i="60"/>
  <c r="J70" i="60"/>
  <c r="J71" i="60"/>
  <c r="J72" i="60"/>
  <c r="J73" i="60"/>
  <c r="J75" i="60"/>
  <c r="C75" i="60" s="1"/>
  <c r="J76" i="60"/>
  <c r="J77" i="60"/>
  <c r="C77" i="60" s="1"/>
  <c r="J79" i="60"/>
  <c r="C79" i="60" s="1"/>
  <c r="J74" i="60"/>
  <c r="J78" i="60"/>
  <c r="J63" i="60"/>
  <c r="C63" i="60" s="1"/>
  <c r="H100" i="58" s="1"/>
  <c r="H74" i="58"/>
  <c r="H64" i="58"/>
  <c r="C64" i="60" l="1"/>
  <c r="H101" i="58" s="1"/>
  <c r="C72" i="60"/>
  <c r="H109" i="58" s="1"/>
  <c r="C66" i="60"/>
  <c r="H103" i="58" s="1"/>
  <c r="C69" i="60"/>
  <c r="H106" i="58" s="1"/>
  <c r="I48" i="58" a="1"/>
  <c r="I48" i="58" s="1"/>
  <c r="C68" i="60"/>
  <c r="H105" i="58" s="1"/>
  <c r="C67" i="60"/>
  <c r="H104" i="58" s="1"/>
  <c r="C70" i="60"/>
  <c r="H107" i="58" s="1"/>
  <c r="C82" i="60"/>
  <c r="H119" i="58" s="1"/>
  <c r="C74" i="60"/>
  <c r="H111" i="58" s="1"/>
  <c r="C78" i="60"/>
  <c r="H115" i="58" s="1"/>
  <c r="C76" i="60"/>
  <c r="H113" i="58" s="1"/>
  <c r="C73" i="60"/>
  <c r="H110" i="58" s="1"/>
  <c r="C71" i="60"/>
  <c r="H108" i="58" s="1"/>
  <c r="H120" i="58"/>
  <c r="H118" i="58"/>
  <c r="H116" i="58"/>
  <c r="H114" i="58"/>
  <c r="H117" i="58"/>
  <c r="H112" i="58"/>
  <c r="H102" i="58"/>
  <c r="I89" i="58" l="1" a="1"/>
  <c r="I89" i="58" s="1"/>
  <c r="I47" i="58"/>
  <c r="I52" i="58" s="1"/>
  <c r="I55" i="58" s="1"/>
  <c r="I4" i="58" s="1"/>
  <c r="I88" i="58" l="1"/>
  <c r="I93" i="58" s="1"/>
  <c r="I53" i="58"/>
  <c r="I56" i="58" s="1"/>
  <c r="I10" i="58" s="1"/>
  <c r="K56" i="58" l="1"/>
  <c r="I96" i="58"/>
  <c r="I5" i="58" s="1"/>
  <c r="M92" i="58"/>
  <c r="I94" i="58"/>
  <c r="I97" i="58" l="1"/>
  <c r="I11" i="58" s="1"/>
  <c r="M91" i="58"/>
  <c r="M84" i="58" s="1"/>
  <c r="M85" i="58" l="1"/>
  <c r="C86" i="60"/>
  <c r="E86" i="60" l="1"/>
  <c r="H86" i="60"/>
  <c r="K86" i="60" s="1"/>
  <c r="F86" i="60"/>
  <c r="J86" i="60" s="1"/>
  <c r="G86" i="60"/>
  <c r="C87" i="60"/>
  <c r="J87" i="60" s="1"/>
  <c r="E87" i="60" l="1"/>
  <c r="E88" i="60" s="1"/>
  <c r="E91" i="60" s="1" a="1"/>
  <c r="F87" i="60"/>
  <c r="F88" i="60" s="1"/>
  <c r="F91" i="60" s="1" a="1"/>
  <c r="F91" i="60" s="1"/>
  <c r="G87" i="60"/>
  <c r="G88" i="60" s="1"/>
  <c r="G91" i="60" s="1" a="1"/>
  <c r="G91" i="60" s="1"/>
  <c r="H87" i="60"/>
  <c r="H88" i="60" s="1"/>
  <c r="H91" i="60" s="1" a="1"/>
  <c r="H91" i="60" s="1"/>
  <c r="K87" i="60"/>
  <c r="K93" i="60" l="1"/>
  <c r="K109" i="60"/>
  <c r="K94" i="60"/>
  <c r="K110" i="60"/>
  <c r="K95" i="60"/>
  <c r="K111" i="60"/>
  <c r="K107" i="60"/>
  <c r="K96" i="60"/>
  <c r="K102" i="60"/>
  <c r="K104" i="60"/>
  <c r="K106" i="60"/>
  <c r="K97" i="60"/>
  <c r="K100" i="60"/>
  <c r="K92" i="60"/>
  <c r="K98" i="60"/>
  <c r="K99" i="60"/>
  <c r="K101" i="60"/>
  <c r="K103" i="60"/>
  <c r="K105" i="60"/>
  <c r="K108" i="60"/>
  <c r="K91" i="60"/>
  <c r="J92" i="60"/>
  <c r="J108" i="60"/>
  <c r="C108" i="60" s="1"/>
  <c r="L117" i="58" s="1"/>
  <c r="J94" i="60"/>
  <c r="C94" i="60" s="1"/>
  <c r="L103" i="58" s="1"/>
  <c r="J110" i="60"/>
  <c r="C110" i="60" s="1"/>
  <c r="L119" i="58" s="1"/>
  <c r="J95" i="60"/>
  <c r="C95" i="60" s="1"/>
  <c r="L104" i="58" s="1"/>
  <c r="J111" i="60"/>
  <c r="J96" i="60"/>
  <c r="C96" i="60" s="1"/>
  <c r="L105" i="58" s="1"/>
  <c r="J97" i="60"/>
  <c r="J98" i="60"/>
  <c r="J99" i="60"/>
  <c r="J100" i="60"/>
  <c r="J101" i="60"/>
  <c r="C101" i="60" s="1"/>
  <c r="L110" i="58" s="1"/>
  <c r="J105" i="60"/>
  <c r="J107" i="60"/>
  <c r="J93" i="60"/>
  <c r="C93" i="60" s="1"/>
  <c r="L102" i="58" s="1"/>
  <c r="J109" i="60"/>
  <c r="C109" i="60" s="1"/>
  <c r="L118" i="58" s="1"/>
  <c r="J103" i="60"/>
  <c r="C103" i="60" s="1"/>
  <c r="L112" i="58" s="1"/>
  <c r="J102" i="60"/>
  <c r="J106" i="60"/>
  <c r="J104" i="60"/>
  <c r="E91" i="60"/>
  <c r="J91" i="60" s="1"/>
  <c r="C91" i="60" s="1"/>
  <c r="L100" i="58" s="1"/>
  <c r="C111" i="60" l="1"/>
  <c r="L120" i="58" s="1"/>
  <c r="C105" i="60"/>
  <c r="L114" i="58" s="1"/>
  <c r="C100" i="60"/>
  <c r="L109" i="58" s="1"/>
  <c r="C99" i="60"/>
  <c r="L108" i="58" s="1"/>
  <c r="C98" i="60"/>
  <c r="L107" i="58" s="1"/>
  <c r="C97" i="60"/>
  <c r="L106" i="58" s="1"/>
  <c r="C104" i="60"/>
  <c r="L113" i="58" s="1"/>
  <c r="C102" i="60"/>
  <c r="L111" i="58" s="1"/>
  <c r="C92" i="60"/>
  <c r="L101" i="58" s="1"/>
  <c r="C106" i="60"/>
  <c r="L115" i="58" s="1"/>
  <c r="C107" i="60"/>
  <c r="L116" i="58" s="1"/>
  <c r="M89" i="58" l="1" a="1"/>
  <c r="M89" i="58" s="1"/>
  <c r="M88" i="58" s="1"/>
  <c r="M93" i="58" s="1"/>
  <c r="M96" i="58" l="1"/>
  <c r="J5" i="58" s="1"/>
  <c r="M94" i="58"/>
  <c r="M97" i="58" s="1"/>
  <c r="O97" i="58" l="1"/>
  <c r="J11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<sst xmlns="http://schemas.openxmlformats.org/spreadsheetml/2006/main" count="368" uniqueCount="36">
  <si>
    <t>Oil Density</t>
  </si>
  <si>
    <t>[gr/L]</t>
  </si>
  <si>
    <t>Oil Comtamination Limit</t>
  </si>
  <si>
    <t>One tapping point solution - T1</t>
  </si>
  <si>
    <t>T1</t>
  </si>
  <si>
    <t>Total Flowrate</t>
  </si>
  <si>
    <t>[L/min]</t>
  </si>
  <si>
    <t>Water cut</t>
  </si>
  <si>
    <t>[%]</t>
  </si>
  <si>
    <t>WT</t>
  </si>
  <si>
    <t>WC tapped</t>
  </si>
  <si>
    <t>Oil Flowrate</t>
  </si>
  <si>
    <t>Water Flowrate</t>
  </si>
  <si>
    <t>Water flowrate at T1</t>
  </si>
  <si>
    <t>Oil flowrate at T1</t>
  </si>
  <si>
    <t xml:space="preserve">WT total </t>
  </si>
  <si>
    <t>Contaminent Oil at T1</t>
  </si>
  <si>
    <t>T2</t>
  </si>
  <si>
    <t>Two tapping points solution - T1 &amp; T2</t>
  </si>
  <si>
    <t>WT total</t>
  </si>
  <si>
    <t xml:space="preserve">WC tapped </t>
  </si>
  <si>
    <t>WT T1</t>
  </si>
  <si>
    <t>WT T2</t>
  </si>
  <si>
    <t>Water flowrate at T2</t>
  </si>
  <si>
    <t>Oil flowrate at T2</t>
  </si>
  <si>
    <t>Contaminent Oil at T1&amp;T2</t>
  </si>
  <si>
    <t>Three tapping points solution - T1, T2 &amp; T3</t>
  </si>
  <si>
    <t>T3</t>
  </si>
  <si>
    <t>WT T3</t>
  </si>
  <si>
    <t>Water flowrate at T3</t>
  </si>
  <si>
    <t>Oil flowrate at T3</t>
  </si>
  <si>
    <t>Contaminent Oil at T1,T2&amp;T3</t>
  </si>
  <si>
    <t>WC</t>
  </si>
  <si>
    <t>Column code</t>
  </si>
  <si>
    <t>WC t</t>
  </si>
  <si>
    <t>Contamination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</si>
</sst>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wrapText="1"/>
    </xf>
    <xf numFmtId="164" fontId="0" fillId="0" borderId="0" xfId="0" applyNumberFormat="1"/>
    <xf numFmtId="0" fontId="1" fillId="2" borderId="0" xfId="0" applyFont="1" applyFill="1" applyAlignment="1">
      <alignment horizontal="right"/>
    </xf>
    <xf numFmtId="0" fontId="1" fillId="3" borderId="0" xfId="0" applyFont="1" applyFill="1"/>
    <xf numFmtId="0" fontId="0" fillId="0" borderId="4" xfId="0" applyBorder="1"/>
    <xf numFmtId="0" fontId="0" fillId="0" borderId="5" xfId="0" applyBorder="1"/>
    <xf numFmtId="164" fontId="0" fillId="0" borderId="4" xfId="0" applyNumberFormat="1" applyBorder="1"/>
    <xf numFmtId="164" fontId="0" fillId="0" borderId="5" xfId="0" applyNumberFormat="1" applyBorder="1"/>
    <xf numFmtId="164" fontId="0" fillId="0" borderId="6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0" fillId="4" borderId="0" xfId="0" applyFill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textRotation="90"/>
    </xf>
    <xf numFmtId="0" fontId="4" fillId="0" borderId="0" xfId="0" applyFont="1" applyAlignment="1">
      <alignment horizontal="center" vertical="center" textRotation="90" wrapText="1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638394993139078"/>
          <c:y val="2.8827843805571733E-2"/>
          <c:w val="0.84348076571802022"/>
          <c:h val="0.83201220338427895"/>
        </c:manualLayout>
      </c:layout>
      <c:scatterChart>
        <c:scatterStyle val="lineMarker"/>
        <c:varyColors val="0"/>
        <c:ser>
          <c:idx val="0"/>
          <c:order val="0"/>
          <c:tx>
            <c:v>First Tapping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design'!$D$19:$D$39</c:f>
              <c:numCache>
                <c:formatCode>General</c:formatCode>
                <c:ptCount val="21"/>
                <c:pt idx="0">
                  <c:v>99.242446045855772</c:v>
                </c:pt>
                <c:pt idx="1">
                  <c:v>99.001359499456981</c:v>
                </c:pt>
                <c:pt idx="2">
                  <c:v>97.740201624636256</c:v>
                </c:pt>
                <c:pt idx="3">
                  <c:v>96.479043749815531</c:v>
                </c:pt>
                <c:pt idx="4">
                  <c:v>95.217885874994792</c:v>
                </c:pt>
                <c:pt idx="5">
                  <c:v>93.965931665387629</c:v>
                </c:pt>
                <c:pt idx="6">
                  <c:v>92.715300727925268</c:v>
                </c:pt>
                <c:pt idx="7">
                  <c:v>91.542570757826667</c:v>
                </c:pt>
                <c:pt idx="8">
                  <c:v>90.293173051668276</c:v>
                </c:pt>
                <c:pt idx="9">
                  <c:v>88.886419489805661</c:v>
                </c:pt>
                <c:pt idx="10">
                  <c:v>87.484766893382229</c:v>
                </c:pt>
                <c:pt idx="11">
                  <c:v>86.18179838848792</c:v>
                </c:pt>
                <c:pt idx="12">
                  <c:v>84.537450854528245</c:v>
                </c:pt>
                <c:pt idx="13">
                  <c:v>83.480066789764848</c:v>
                </c:pt>
                <c:pt idx="14">
                  <c:v>82.618936289119375</c:v>
                </c:pt>
                <c:pt idx="15">
                  <c:v>81.614726853611998</c:v>
                </c:pt>
                <c:pt idx="16">
                  <c:v>80.620651134641435</c:v>
                </c:pt>
                <c:pt idx="17">
                  <c:v>79.66238319602256</c:v>
                </c:pt>
                <c:pt idx="18">
                  <c:v>78.711175020338814</c:v>
                </c:pt>
                <c:pt idx="19">
                  <c:v>77.773731819038261</c:v>
                </c:pt>
                <c:pt idx="20">
                  <c:v>76.836288617737694</c:v>
                </c:pt>
              </c:numCache>
            </c:numRef>
          </c:xVal>
          <c:yVal>
            <c:numRef>
              <c:f>'Tapping design'!$C$19:$C$39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5E-1D4D-B6B6-B2691C3D65E2}"/>
            </c:ext>
          </c:extLst>
        </c:ser>
        <c:ser>
          <c:idx val="1"/>
          <c:order val="1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1"/>
            <c:spPr>
              <a:solidFill>
                <a:schemeClr val="bg1"/>
              </a:solidFill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design'!$E$8</c:f>
              <c:numCache>
                <c:formatCode>General</c:formatCode>
                <c:ptCount val="1"/>
                <c:pt idx="0">
                  <c:v>80.620651134641435</c:v>
                </c:pt>
              </c:numCache>
            </c:numRef>
          </c:xVal>
          <c:yVal>
            <c:numRef>
              <c:f>'Tapping design'!$E$7</c:f>
              <c:numCache>
                <c:formatCode>General</c:formatCode>
                <c:ptCount val="1"/>
                <c:pt idx="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5E-1D4D-B6B6-B2691C3D6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27824"/>
        <c:axId val="1758005808"/>
      </c:scatterChart>
      <c:valAx>
        <c:axId val="1757727824"/>
        <c:scaling>
          <c:orientation val="minMax"/>
          <c:min val="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WC tapped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8005808"/>
        <c:crosses val="autoZero"/>
        <c:crossBetween val="midCat"/>
      </c:valAx>
      <c:valAx>
        <c:axId val="1758005808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77278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3238481331404306"/>
          <c:y val="0.74227934933220818"/>
          <c:w val="0.244409540123699"/>
          <c:h val="9.44660361215142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31891005771196"/>
          <c:y val="2.8827843805571733E-2"/>
          <c:w val="0.83420864467813804"/>
          <c:h val="0.84935706655535337"/>
        </c:manualLayout>
      </c:layout>
      <c:scatterChart>
        <c:scatterStyle val="lineMarker"/>
        <c:varyColors val="0"/>
        <c:ser>
          <c:idx val="0"/>
          <c:order val="0"/>
          <c:tx>
            <c:v>First Tapping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design'!$D$59:$D$79</c:f>
              <c:numCache>
                <c:formatCode>General</c:formatCode>
                <c:ptCount val="21"/>
                <c:pt idx="0">
                  <c:v>99.242446045855772</c:v>
                </c:pt>
                <c:pt idx="1">
                  <c:v>99.001359499456981</c:v>
                </c:pt>
                <c:pt idx="2">
                  <c:v>97.740201624636256</c:v>
                </c:pt>
                <c:pt idx="3">
                  <c:v>96.479043749815531</c:v>
                </c:pt>
                <c:pt idx="4">
                  <c:v>95.217885874994792</c:v>
                </c:pt>
                <c:pt idx="5">
                  <c:v>93.965931665387629</c:v>
                </c:pt>
                <c:pt idx="6">
                  <c:v>92.715300727925268</c:v>
                </c:pt>
                <c:pt idx="7">
                  <c:v>91.542570757826667</c:v>
                </c:pt>
                <c:pt idx="8">
                  <c:v>90.293173051668276</c:v>
                </c:pt>
                <c:pt idx="9">
                  <c:v>88.886419489805661</c:v>
                </c:pt>
                <c:pt idx="10">
                  <c:v>87.484766893382229</c:v>
                </c:pt>
                <c:pt idx="11">
                  <c:v>86.18179838848792</c:v>
                </c:pt>
                <c:pt idx="12">
                  <c:v>84.537450854528245</c:v>
                </c:pt>
                <c:pt idx="13">
                  <c:v>83.480066789764848</c:v>
                </c:pt>
                <c:pt idx="14">
                  <c:v>82.618936289119375</c:v>
                </c:pt>
                <c:pt idx="15">
                  <c:v>81.614726853611998</c:v>
                </c:pt>
                <c:pt idx="16">
                  <c:v>80.620651134641435</c:v>
                </c:pt>
                <c:pt idx="17">
                  <c:v>79.66238319602256</c:v>
                </c:pt>
                <c:pt idx="18">
                  <c:v>78.711175020338814</c:v>
                </c:pt>
                <c:pt idx="19">
                  <c:v>77.773731819038261</c:v>
                </c:pt>
                <c:pt idx="20">
                  <c:v>76.836288617737694</c:v>
                </c:pt>
              </c:numCache>
            </c:numRef>
          </c:xVal>
          <c:yVal>
            <c:numRef>
              <c:f>'Tapping design'!$C$59:$C$79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AC-0B4D-8453-E58E893F8E23}"/>
            </c:ext>
          </c:extLst>
        </c:ser>
        <c:ser>
          <c:idx val="1"/>
          <c:order val="1"/>
          <c:tx>
            <c:v>Second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design'!$H$59:$H$79</c:f>
              <c:numCache>
                <c:formatCode>General</c:formatCode>
                <c:ptCount val="21"/>
                <c:pt idx="0">
                  <c:v>99.12319651799568</c:v>
                </c:pt>
                <c:pt idx="1">
                  <c:v>99.11208327562008</c:v>
                </c:pt>
                <c:pt idx="2">
                  <c:v>98.989084402500708</c:v>
                </c:pt>
                <c:pt idx="3">
                  <c:v>98.866085529381337</c:v>
                </c:pt>
                <c:pt idx="4">
                  <c:v>98.278553390355839</c:v>
                </c:pt>
                <c:pt idx="5">
                  <c:v>97.495625352686844</c:v>
                </c:pt>
                <c:pt idx="6">
                  <c:v>96.712697315017834</c:v>
                </c:pt>
                <c:pt idx="7">
                  <c:v>96.367190918742438</c:v>
                </c:pt>
                <c:pt idx="8">
                  <c:v>96.041404598248036</c:v>
                </c:pt>
                <c:pt idx="9">
                  <c:v>95.585048525216337</c:v>
                </c:pt>
                <c:pt idx="10">
                  <c:v>95.160869005871291</c:v>
                </c:pt>
                <c:pt idx="11">
                  <c:v>94.974700706313257</c:v>
                </c:pt>
                <c:pt idx="12">
                  <c:v>94.11987632601614</c:v>
                </c:pt>
                <c:pt idx="13">
                  <c:v>93.435823833360331</c:v>
                </c:pt>
                <c:pt idx="14">
                  <c:v>92.746280743227061</c:v>
                </c:pt>
                <c:pt idx="15">
                  <c:v>91.867782295605153</c:v>
                </c:pt>
                <c:pt idx="16">
                  <c:v>90.998685060786414</c:v>
                </c:pt>
                <c:pt idx="17">
                  <c:v>90.047760826566616</c:v>
                </c:pt>
                <c:pt idx="18">
                  <c:v>89.100212190941335</c:v>
                </c:pt>
                <c:pt idx="19">
                  <c:v>88.063587931766847</c:v>
                </c:pt>
                <c:pt idx="20">
                  <c:v>87.026963672592444</c:v>
                </c:pt>
              </c:numCache>
            </c:numRef>
          </c:xVal>
          <c:yVal>
            <c:numRef>
              <c:f>'Tapping design'!$G$59:$G$79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AC-0B4D-8453-E58E893F8E23}"/>
            </c:ext>
          </c:extLst>
        </c:ser>
        <c:ser>
          <c:idx val="2"/>
          <c:order val="2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design'!$E$48</c:f>
              <c:numCache>
                <c:formatCode>General</c:formatCode>
                <c:ptCount val="1"/>
                <c:pt idx="0">
                  <c:v>86.18179838848792</c:v>
                </c:pt>
              </c:numCache>
            </c:numRef>
          </c:xVal>
          <c:yVal>
            <c:numRef>
              <c:f>'Tapping design'!$E$47</c:f>
              <c:numCache>
                <c:formatCode>General</c:formatCode>
                <c:ptCount val="1"/>
                <c:pt idx="0">
                  <c:v>55.000000000000007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7AC-0B4D-8453-E58E893F8E23}"/>
            </c:ext>
          </c:extLst>
        </c:ser>
        <c:ser>
          <c:idx val="3"/>
          <c:order val="3"/>
          <c:tx>
            <c:v>T2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1"/>
            <c:spPr>
              <a:noFill/>
              <a:ln w="22225">
                <a:solidFill>
                  <a:srgbClr val="FF0000"/>
                </a:solidFill>
              </a:ln>
              <a:effectLst/>
            </c:spPr>
          </c:marker>
          <c:dPt>
            <c:idx val="0"/>
            <c:marker>
              <c:symbol val="triangle"/>
              <c:size val="11"/>
              <c:spPr>
                <a:solidFill>
                  <a:schemeClr val="bg1"/>
                </a:solidFill>
                <a:ln w="22225">
                  <a:solidFill>
                    <a:srgbClr val="FF000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87AC-0B4D-8453-E58E893F8E23}"/>
              </c:ext>
            </c:extLst>
          </c:dPt>
          <c:xVal>
            <c:numRef>
              <c:f>'Tapping design'!$I$48</c:f>
              <c:numCache>
                <c:formatCode>General</c:formatCode>
                <c:ptCount val="1"/>
                <c:pt idx="0">
                  <c:v>87.026963672592444</c:v>
                </c:pt>
              </c:numCache>
            </c:numRef>
          </c:xVal>
          <c:yVal>
            <c:numRef>
              <c:f>'Tapping design'!$I$47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7AC-0B4D-8453-E58E893F8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27824"/>
        <c:axId val="1758005808"/>
      </c:scatterChart>
      <c:valAx>
        <c:axId val="1757727824"/>
        <c:scaling>
          <c:orientation val="minMax"/>
          <c:max val="105"/>
          <c:min val="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WC tapped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8005808"/>
        <c:crosses val="autoZero"/>
        <c:crossBetween val="midCat"/>
      </c:valAx>
      <c:valAx>
        <c:axId val="1758005808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77278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3813735030454391"/>
          <c:y val="0.66514410315010397"/>
          <c:w val="0.27068024008950797"/>
          <c:h val="0.1889042297292023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36723089923895"/>
          <c:y val="2.8799796808142632E-2"/>
          <c:w val="0.84015885987982164"/>
          <c:h val="0.84950362909383292"/>
        </c:manualLayout>
      </c:layout>
      <c:scatterChart>
        <c:scatterStyle val="lineMarker"/>
        <c:varyColors val="0"/>
        <c:ser>
          <c:idx val="0"/>
          <c:order val="0"/>
          <c:tx>
            <c:v>First Tapping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design'!$D$100:$D$120</c:f>
              <c:numCache>
                <c:formatCode>General</c:formatCode>
                <c:ptCount val="21"/>
                <c:pt idx="0">
                  <c:v>99.242446045855772</c:v>
                </c:pt>
                <c:pt idx="1">
                  <c:v>99.001359499456981</c:v>
                </c:pt>
                <c:pt idx="2">
                  <c:v>97.740201624636256</c:v>
                </c:pt>
                <c:pt idx="3">
                  <c:v>96.479043749815531</c:v>
                </c:pt>
                <c:pt idx="4">
                  <c:v>95.217885874994792</c:v>
                </c:pt>
                <c:pt idx="5">
                  <c:v>93.965931665387629</c:v>
                </c:pt>
                <c:pt idx="6">
                  <c:v>92.715300727925268</c:v>
                </c:pt>
                <c:pt idx="7">
                  <c:v>91.542570757826667</c:v>
                </c:pt>
                <c:pt idx="8">
                  <c:v>90.293173051668276</c:v>
                </c:pt>
                <c:pt idx="9">
                  <c:v>88.886419489805661</c:v>
                </c:pt>
                <c:pt idx="10">
                  <c:v>87.484766893382229</c:v>
                </c:pt>
                <c:pt idx="11">
                  <c:v>86.18179838848792</c:v>
                </c:pt>
                <c:pt idx="12">
                  <c:v>84.537450854528245</c:v>
                </c:pt>
                <c:pt idx="13">
                  <c:v>83.480066789764848</c:v>
                </c:pt>
                <c:pt idx="14">
                  <c:v>82.618936289119375</c:v>
                </c:pt>
                <c:pt idx="15">
                  <c:v>81.614726853611998</c:v>
                </c:pt>
                <c:pt idx="16">
                  <c:v>80.620651134641435</c:v>
                </c:pt>
                <c:pt idx="17">
                  <c:v>79.66238319602256</c:v>
                </c:pt>
                <c:pt idx="18">
                  <c:v>78.711175020338814</c:v>
                </c:pt>
                <c:pt idx="19">
                  <c:v>77.773731819038261</c:v>
                </c:pt>
                <c:pt idx="20">
                  <c:v>76.836288617737694</c:v>
                </c:pt>
              </c:numCache>
            </c:numRef>
          </c:xVal>
          <c:yVal>
            <c:numRef>
              <c:f>'Tapping design'!$C$100:$C$120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BF-6541-84BF-0204A3B407A0}"/>
            </c:ext>
          </c:extLst>
        </c:ser>
        <c:ser>
          <c:idx val="1"/>
          <c:order val="1"/>
          <c:tx>
            <c:v>Second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design'!$H$100:$H$120</c:f>
              <c:numCache>
                <c:formatCode>General</c:formatCode>
                <c:ptCount val="21"/>
                <c:pt idx="0">
                  <c:v>99.702093214121774</c:v>
                </c:pt>
                <c:pt idx="1">
                  <c:v>99.698552147247668</c:v>
                </c:pt>
                <c:pt idx="2">
                  <c:v>99.423611007203675</c:v>
                </c:pt>
                <c:pt idx="3">
                  <c:v>99.148669867159725</c:v>
                </c:pt>
                <c:pt idx="4">
                  <c:v>98.747669061524917</c:v>
                </c:pt>
                <c:pt idx="5">
                  <c:v>98.293643976578721</c:v>
                </c:pt>
                <c:pt idx="6">
                  <c:v>97.83961889163254</c:v>
                </c:pt>
                <c:pt idx="7">
                  <c:v>97.622548175310584</c:v>
                </c:pt>
                <c:pt idx="8">
                  <c:v>97.434240877373554</c:v>
                </c:pt>
                <c:pt idx="9">
                  <c:v>96.929211582547097</c:v>
                </c:pt>
                <c:pt idx="10">
                  <c:v>96.515164300820942</c:v>
                </c:pt>
                <c:pt idx="11">
                  <c:v>96.583427016897076</c:v>
                </c:pt>
                <c:pt idx="12">
                  <c:v>95.018793548967707</c:v>
                </c:pt>
                <c:pt idx="13">
                  <c:v>93.8808656891959</c:v>
                </c:pt>
                <c:pt idx="14">
                  <c:v>92.730363185527125</c:v>
                </c:pt>
                <c:pt idx="15">
                  <c:v>91.138134675197435</c:v>
                </c:pt>
                <c:pt idx="16">
                  <c:v>89.548420255976467</c:v>
                </c:pt>
                <c:pt idx="17">
                  <c:v>87.814215972123719</c:v>
                </c:pt>
                <c:pt idx="18">
                  <c:v>86.078353787152466</c:v>
                </c:pt>
                <c:pt idx="19">
                  <c:v>84.313770556746306</c:v>
                </c:pt>
                <c:pt idx="20">
                  <c:v>82.549187326340189</c:v>
                </c:pt>
              </c:numCache>
            </c:numRef>
          </c:xVal>
          <c:yVal>
            <c:numRef>
              <c:f>'Tapping design'!$G$100:$G$120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BF-6541-84BF-0204A3B407A0}"/>
            </c:ext>
          </c:extLst>
        </c:ser>
        <c:ser>
          <c:idx val="2"/>
          <c:order val="2"/>
          <c:tx>
            <c:v>Third Tapping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design'!$L$100:$L$120</c:f>
              <c:numCache>
                <c:formatCode>General</c:formatCode>
                <c:ptCount val="21"/>
                <c:pt idx="0">
                  <c:v>99.961038707222144</c:v>
                </c:pt>
                <c:pt idx="1">
                  <c:v>99.961038707222144</c:v>
                </c:pt>
                <c:pt idx="2">
                  <c:v>99.961038707222144</c:v>
                </c:pt>
                <c:pt idx="3">
                  <c:v>99.961038707222144</c:v>
                </c:pt>
                <c:pt idx="4">
                  <c:v>99.961038707222144</c:v>
                </c:pt>
                <c:pt idx="5">
                  <c:v>99.961038707222144</c:v>
                </c:pt>
                <c:pt idx="6">
                  <c:v>99.961038707222144</c:v>
                </c:pt>
                <c:pt idx="7">
                  <c:v>99.961038707222144</c:v>
                </c:pt>
                <c:pt idx="8">
                  <c:v>99.850498821287928</c:v>
                </c:pt>
                <c:pt idx="9">
                  <c:v>99.739958935353712</c:v>
                </c:pt>
                <c:pt idx="10">
                  <c:v>99.594381730503585</c:v>
                </c:pt>
                <c:pt idx="11">
                  <c:v>99.258528682580263</c:v>
                </c:pt>
                <c:pt idx="12">
                  <c:v>98.92267563465694</c:v>
                </c:pt>
                <c:pt idx="13">
                  <c:v>98.567693225326451</c:v>
                </c:pt>
                <c:pt idx="14">
                  <c:v>98.2121769476243</c:v>
                </c:pt>
                <c:pt idx="15">
                  <c:v>97.853962764986377</c:v>
                </c:pt>
                <c:pt idx="16">
                  <c:v>97.493136133269388</c:v>
                </c:pt>
                <c:pt idx="17">
                  <c:v>97.116968093621395</c:v>
                </c:pt>
                <c:pt idx="18">
                  <c:v>96.744043614732561</c:v>
                </c:pt>
                <c:pt idx="19">
                  <c:v>96.378863780709693</c:v>
                </c:pt>
                <c:pt idx="20">
                  <c:v>96.013683946686811</c:v>
                </c:pt>
              </c:numCache>
            </c:numRef>
          </c:xVal>
          <c:yVal>
            <c:numRef>
              <c:f>'Tapping design'!$K$100:$K$120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BF-6541-84BF-0204A3B407A0}"/>
            </c:ext>
          </c:extLst>
        </c:ser>
        <c:ser>
          <c:idx val="3"/>
          <c:order val="3"/>
          <c:tx>
            <c:v>T1</c:v>
          </c:tx>
          <c:spPr>
            <a:ln w="25400" cap="rnd">
              <a:noFill/>
              <a:round/>
            </a:ln>
            <a:effectLst/>
          </c:spPr>
          <c:marker>
            <c:symbol val="x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design'!$E$89</c:f>
              <c:numCache>
                <c:formatCode>General</c:formatCode>
                <c:ptCount val="1"/>
                <c:pt idx="0">
                  <c:v>90.293173051668276</c:v>
                </c:pt>
              </c:numCache>
            </c:numRef>
          </c:xVal>
          <c:yVal>
            <c:numRef>
              <c:f>'Tapping design'!$E$88</c:f>
              <c:numCache>
                <c:formatCode>General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DD-1A40-A38A-FBFB725E0ACA}"/>
            </c:ext>
          </c:extLst>
        </c:ser>
        <c:ser>
          <c:idx val="4"/>
          <c:order val="4"/>
          <c:tx>
            <c:v>T2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design'!$I$89</c:f>
              <c:numCache>
                <c:formatCode>General</c:formatCode>
                <c:ptCount val="1"/>
                <c:pt idx="0">
                  <c:v>89.548420255976467</c:v>
                </c:pt>
              </c:numCache>
            </c:numRef>
          </c:xVal>
          <c:yVal>
            <c:numRef>
              <c:f>'Tapping design'!$I$88</c:f>
              <c:numCache>
                <c:formatCode>General</c:formatCode>
                <c:ptCount val="1"/>
                <c:pt idx="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DD-1A40-A38A-FBFB725E0ACA}"/>
            </c:ext>
          </c:extLst>
        </c:ser>
        <c:ser>
          <c:idx val="5"/>
          <c:order val="5"/>
          <c:tx>
            <c:v>T3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1"/>
            <c:spPr>
              <a:solidFill>
                <a:schemeClr val="bg1"/>
              </a:solidFill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'Tapping design'!$M$89</c:f>
              <c:numCache>
                <c:formatCode>General</c:formatCode>
                <c:ptCount val="1"/>
                <c:pt idx="0">
                  <c:v>96.013683946686811</c:v>
                </c:pt>
              </c:numCache>
            </c:numRef>
          </c:xVal>
          <c:yVal>
            <c:numRef>
              <c:f>'Tapping design'!$M$88</c:f>
              <c:numCache>
                <c:formatCode>General</c:formatCode>
                <c:ptCount val="1"/>
                <c:pt idx="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DD-1A40-A38A-FBFB725E0A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57727824"/>
        <c:axId val="1758005808"/>
      </c:scatterChart>
      <c:valAx>
        <c:axId val="1757727824"/>
        <c:scaling>
          <c:orientation val="minMax"/>
          <c:max val="105"/>
          <c:min val="7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>
                    <a:solidFill>
                      <a:schemeClr val="tx1"/>
                    </a:solidFill>
                  </a:rPr>
                  <a:t>WC tapped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8005808"/>
        <c:crosses val="autoZero"/>
        <c:crossBetween val="midCat"/>
      </c:valAx>
      <c:valAx>
        <c:axId val="1758005808"/>
        <c:scaling>
          <c:orientation val="minMax"/>
          <c:max val="10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 b="1"/>
                  <a:t>WT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1757727824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12974599737445713"/>
          <c:y val="0.5706076122151964"/>
          <c:w val="0.27079321239074605"/>
          <c:h val="0.283081693006171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801086217852946"/>
          <c:y val="2.8694159576088719E-2"/>
          <c:w val="0.67878655565589308"/>
          <c:h val="0.8500556475737755"/>
        </c:manualLayout>
      </c:layout>
      <c:scatterChart>
        <c:scatterStyle val="lineMarker"/>
        <c:varyColors val="0"/>
        <c:ser>
          <c:idx val="0"/>
          <c:order val="0"/>
          <c:tx>
            <c:v>Single Tapping Point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design'!$H$3:$J$3</c:f>
              <c:numCache>
                <c:formatCode>General</c:formatCode>
                <c:ptCount val="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3E-544D-8F32-E124CCC8EFFC}"/>
            </c:ext>
          </c:extLst>
        </c:ser>
        <c:ser>
          <c:idx val="1"/>
          <c:order val="1"/>
          <c:tx>
            <c:v>Double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design'!$H$4:$I$4</c:f>
              <c:numCache>
                <c:formatCode>General</c:formatCode>
                <c:ptCount val="2"/>
                <c:pt idx="0">
                  <c:v>55.000000000000007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3E-544D-8F32-E124CCC8EFFC}"/>
            </c:ext>
          </c:extLst>
        </c:ser>
        <c:ser>
          <c:idx val="2"/>
          <c:order val="2"/>
          <c:tx>
            <c:v>Triple Tapping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design'!$H$5:$J$5</c:f>
              <c:numCache>
                <c:formatCode>General</c:formatCode>
                <c:ptCount val="3"/>
                <c:pt idx="0">
                  <c:v>40</c:v>
                </c:pt>
                <c:pt idx="1">
                  <c:v>88</c:v>
                </c:pt>
                <c:pt idx="2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3E-544D-8F32-E124CCC8E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332383"/>
        <c:axId val="967334031"/>
      </c:scatterChart>
      <c:valAx>
        <c:axId val="967332383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# of tapping 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4031"/>
        <c:crosses val="autoZero"/>
        <c:crossBetween val="midCat"/>
        <c:majorUnit val="1"/>
      </c:valAx>
      <c:valAx>
        <c:axId val="967334031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WT total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2383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2306432222380263"/>
          <c:y val="0.77311567223918665"/>
          <c:w val="0.68067018105223542"/>
          <c:h val="9.702918610935647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169679539852095"/>
          <c:y val="2.7097364107300907E-2"/>
          <c:w val="0.70233558809719454"/>
          <c:h val="0.86351967410231012"/>
        </c:manualLayout>
      </c:layout>
      <c:scatterChart>
        <c:scatterStyle val="lineMarker"/>
        <c:varyColors val="0"/>
        <c:ser>
          <c:idx val="0"/>
          <c:order val="0"/>
          <c:tx>
            <c:v>Single Tapping Point</c:v>
          </c:tx>
          <c:spPr>
            <a:ln w="19050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design'!$H$9:$J$9</c:f>
              <c:numCache>
                <c:formatCode>General</c:formatCode>
                <c:ptCount val="3"/>
                <c:pt idx="0">
                  <c:v>74.997618611316909</c:v>
                </c:pt>
                <c:pt idx="1">
                  <c:v>74.997618611316909</c:v>
                </c:pt>
                <c:pt idx="2">
                  <c:v>74.997618611316909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6A-244F-84A6-222252BD574A}"/>
            </c:ext>
          </c:extLst>
        </c:ser>
        <c:ser>
          <c:idx val="1"/>
          <c:order val="1"/>
          <c:tx>
            <c:v>Double Tapping Point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design'!$H$10:$I$10</c:f>
              <c:numCache>
                <c:formatCode>General</c:formatCode>
                <c:ptCount val="2"/>
                <c:pt idx="0">
                  <c:v>34.39246222628455</c:v>
                </c:pt>
                <c:pt idx="1">
                  <c:v>60.554099716310553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6A-244F-84A6-222252BD574A}"/>
            </c:ext>
          </c:extLst>
        </c:ser>
        <c:ser>
          <c:idx val="2"/>
          <c:order val="2"/>
          <c:tx>
            <c:v>Triple Tapping Point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'Tapping design'!$H$2:$J$2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'Tapping design'!$H$11:$J$11</c:f>
              <c:numCache>
                <c:formatCode>General</c:formatCode>
                <c:ptCount val="3"/>
                <c:pt idx="0">
                  <c:v>16.770537049055129</c:v>
                </c:pt>
                <c:pt idx="1">
                  <c:v>38.619450994029222</c:v>
                </c:pt>
                <c:pt idx="2">
                  <c:v>40.562503105212123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06A-244F-84A6-222252BD5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7332383"/>
        <c:axId val="967334031"/>
      </c:scatterChart>
      <c:valAx>
        <c:axId val="967332383"/>
        <c:scaling>
          <c:orientation val="minMax"/>
          <c:max val="3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# of tapping point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4031"/>
        <c:crosses val="autoZero"/>
        <c:crossBetween val="midCat"/>
        <c:majorUnit val="1"/>
      </c:valAx>
      <c:valAx>
        <c:axId val="967334031"/>
        <c:scaling>
          <c:orientation val="minMax"/>
          <c:max val="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GB"/>
                  <a:t>Oil Contamination [L/min]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967332383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legend>
      <c:legendPos val="r"/>
      <c:layout>
        <c:manualLayout>
          <c:xMode val="edge"/>
          <c:yMode val="edge"/>
          <c:x val="0.24118991372226786"/>
          <c:y val="4.5964655493966326E-2"/>
          <c:w val="0.66563600481277141"/>
          <c:h val="0.103157356934355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chemeClr val="tx1"/>
          </a:solidFill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637117</xdr:colOff>
      <xdr:row>0</xdr:row>
      <xdr:rowOff>89644</xdr:rowOff>
    </xdr:from>
    <xdr:to>
      <xdr:col>16</xdr:col>
      <xdr:colOff>476250</xdr:colOff>
      <xdr:row>28</xdr:row>
      <xdr:rowOff>23795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E8584B-DDA1-8B71-6727-8A35148F7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524694</xdr:colOff>
      <xdr:row>0</xdr:row>
      <xdr:rowOff>118533</xdr:rowOff>
    </xdr:from>
    <xdr:to>
      <xdr:col>23</xdr:col>
      <xdr:colOff>772903</xdr:colOff>
      <xdr:row>28</xdr:row>
      <xdr:rowOff>53443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9E36D89-0900-F340-ABB2-B6709422E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91744</xdr:colOff>
      <xdr:row>0</xdr:row>
      <xdr:rowOff>80291</xdr:rowOff>
    </xdr:from>
    <xdr:to>
      <xdr:col>31</xdr:col>
      <xdr:colOff>337277</xdr:colOff>
      <xdr:row>28</xdr:row>
      <xdr:rowOff>20198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039915C-71FD-164A-AF52-E166812A08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572030</xdr:colOff>
      <xdr:row>28</xdr:row>
      <xdr:rowOff>148769</xdr:rowOff>
    </xdr:from>
    <xdr:to>
      <xdr:col>17</xdr:col>
      <xdr:colOff>651247</xdr:colOff>
      <xdr:row>56</xdr:row>
      <xdr:rowOff>86268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BBEF178-89D9-5708-2829-5D2CC0EB40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11212</xdr:colOff>
      <xdr:row>28</xdr:row>
      <xdr:rowOff>118532</xdr:rowOff>
    </xdr:from>
    <xdr:to>
      <xdr:col>21</xdr:col>
      <xdr:colOff>95692</xdr:colOff>
      <xdr:row>56</xdr:row>
      <xdr:rowOff>58549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89C0540-E3A7-9C44-9BDD-FBD72E5FC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C8B53-4EF2-F24D-8D64-7BEA5BCE135D}">
  <sheetPr codeName="Sheet1"/>
  <dimension ref="A1:O120"/>
  <sheetViews>
    <sheetView tabSelected="1" topLeftCell="G12" zoomScaleNormal="75" workbookViewId="0">
      <selection activeCell="G31" sqref="A31:XFD31"/>
    </sheetView>
  </sheetViews>
  <sheetFormatPr defaultColWidth="11.42578125" defaultRowHeight="15"/>
  <cols>
    <col min="3" max="3" width="22.28515625" customWidth="1"/>
    <col min="4" max="4" width="11.42578125" customWidth="1"/>
    <col min="7" max="7" width="26.28515625" customWidth="1"/>
    <col min="9" max="9" width="10.42578125" customWidth="1"/>
    <col min="11" max="11" width="28.42578125" customWidth="1"/>
  </cols>
  <sheetData>
    <row r="1" spans="1:10">
      <c r="C1" t="s">
        <v>0</v>
      </c>
      <c r="D1" t="s">
        <v>1</v>
      </c>
      <c r="E1">
        <v>796.2</v>
      </c>
    </row>
    <row r="2" spans="1:10">
      <c r="C2" t="s">
        <v>2</v>
      </c>
      <c r="D2" t="s">
        <v>1</v>
      </c>
      <c r="E2">
        <v>30</v>
      </c>
      <c r="H2">
        <v>1</v>
      </c>
      <c r="I2">
        <v>2</v>
      </c>
      <c r="J2">
        <v>3</v>
      </c>
    </row>
    <row r="3" spans="1:10">
      <c r="H3">
        <f>E15</f>
        <v>80</v>
      </c>
      <c r="I3">
        <f>E15</f>
        <v>80</v>
      </c>
      <c r="J3">
        <f>I3</f>
        <v>80</v>
      </c>
    </row>
    <row r="4" spans="1:10" ht="15" customHeight="1">
      <c r="A4" s="26" t="s">
        <v>3</v>
      </c>
      <c r="C4" s="24" t="s">
        <v>4</v>
      </c>
      <c r="D4" s="24"/>
      <c r="E4" s="24"/>
      <c r="H4">
        <f ca="1">E55</f>
        <v>55.000000000000007</v>
      </c>
      <c r="I4">
        <f ca="1">I55</f>
        <v>100</v>
      </c>
    </row>
    <row r="5" spans="1:10">
      <c r="A5" s="26"/>
      <c r="C5" t="s">
        <v>5</v>
      </c>
      <c r="D5" t="s">
        <v>6</v>
      </c>
      <c r="E5" s="1">
        <v>650</v>
      </c>
      <c r="H5">
        <f ca="1">E96</f>
        <v>40</v>
      </c>
      <c r="I5">
        <f ca="1">I96</f>
        <v>88</v>
      </c>
      <c r="J5">
        <f ca="1">M96</f>
        <v>100</v>
      </c>
    </row>
    <row r="6" spans="1:10">
      <c r="A6" s="26"/>
      <c r="C6" t="s">
        <v>7</v>
      </c>
      <c r="D6" t="s">
        <v>8</v>
      </c>
      <c r="E6" s="1">
        <v>60</v>
      </c>
    </row>
    <row r="7" spans="1:10">
      <c r="A7" s="26"/>
      <c r="C7" t="s">
        <v>9</v>
      </c>
      <c r="D7" t="s">
        <v>8</v>
      </c>
      <c r="E7" s="6">
        <v>80</v>
      </c>
    </row>
    <row r="8" spans="1:10">
      <c r="A8" s="26"/>
      <c r="C8" t="s">
        <v>10</v>
      </c>
      <c r="D8" t="s">
        <v>8</v>
      </c>
      <c r="E8" s="2">
        <f ca="1">LOOKUP(E7,C19:C39,D19:D39)</f>
        <v>80.620651134641435</v>
      </c>
    </row>
    <row r="9" spans="1:10">
      <c r="A9" s="26"/>
      <c r="E9" s="2"/>
      <c r="H9">
        <f ca="1">E16</f>
        <v>74.997618611316909</v>
      </c>
      <c r="I9">
        <f ca="1">H9</f>
        <v>74.997618611316909</v>
      </c>
      <c r="J9">
        <f ca="1">I9</f>
        <v>74.997618611316909</v>
      </c>
    </row>
    <row r="10" spans="1:10">
      <c r="A10" s="26"/>
      <c r="C10" t="s">
        <v>11</v>
      </c>
      <c r="D10" t="s">
        <v>6</v>
      </c>
      <c r="E10">
        <f>E5-E11</f>
        <v>260</v>
      </c>
      <c r="H10">
        <f ca="1">E56</f>
        <v>34.39246222628455</v>
      </c>
      <c r="I10">
        <f ca="1">I56</f>
        <v>60.554099716310553</v>
      </c>
    </row>
    <row r="11" spans="1:10">
      <c r="A11" s="26"/>
      <c r="C11" t="s">
        <v>12</v>
      </c>
      <c r="D11" t="s">
        <v>6</v>
      </c>
      <c r="E11">
        <f>E5*E6/100</f>
        <v>390</v>
      </c>
      <c r="H11">
        <f ca="1">E97</f>
        <v>16.770537049055129</v>
      </c>
      <c r="I11">
        <f ca="1">I97</f>
        <v>38.619450994029222</v>
      </c>
      <c r="J11">
        <f ca="1">M97</f>
        <v>40.562503105212123</v>
      </c>
    </row>
    <row r="12" spans="1:10">
      <c r="A12" s="26"/>
      <c r="C12" t="s">
        <v>13</v>
      </c>
      <c r="D12" t="s">
        <v>6</v>
      </c>
      <c r="E12">
        <f>E11*E7/100</f>
        <v>312</v>
      </c>
    </row>
    <row r="13" spans="1:10">
      <c r="A13" s="26"/>
      <c r="C13" t="s">
        <v>14</v>
      </c>
      <c r="D13" t="s">
        <v>6</v>
      </c>
      <c r="E13">
        <f ca="1">((100-E8)/E8)*E12</f>
        <v>74.997618611316909</v>
      </c>
    </row>
    <row r="14" spans="1:10">
      <c r="A14" s="26"/>
    </row>
    <row r="15" spans="1:10">
      <c r="A15" s="26"/>
      <c r="C15" t="s">
        <v>15</v>
      </c>
      <c r="D15" t="s">
        <v>8</v>
      </c>
      <c r="E15" s="23">
        <f>E7</f>
        <v>80</v>
      </c>
    </row>
    <row r="16" spans="1:10">
      <c r="A16" s="26"/>
      <c r="C16" t="s">
        <v>16</v>
      </c>
      <c r="D16" t="s">
        <v>6</v>
      </c>
      <c r="E16">
        <f ca="1">E13</f>
        <v>74.997618611316909</v>
      </c>
      <c r="F16" t="s">
        <v>1</v>
      </c>
      <c r="G16">
        <f ca="1">(E16*E1)/E12</f>
        <v>191.38815364849526</v>
      </c>
    </row>
    <row r="17" spans="1:4">
      <c r="A17" s="26"/>
    </row>
    <row r="18" spans="1:4">
      <c r="A18" s="26"/>
      <c r="C18" t="s">
        <v>9</v>
      </c>
      <c r="D18" t="s">
        <v>10</v>
      </c>
    </row>
    <row r="19" spans="1:4">
      <c r="A19" s="26"/>
      <c r="C19">
        <v>0</v>
      </c>
      <c r="D19">
        <f ca="1">'Interpolation T1'!C35</f>
        <v>99.242446045855772</v>
      </c>
    </row>
    <row r="20" spans="1:4">
      <c r="A20" s="26"/>
      <c r="C20">
        <v>5</v>
      </c>
      <c r="D20">
        <f ca="1">'Interpolation T1'!C36</f>
        <v>99.001359499456981</v>
      </c>
    </row>
    <row r="21" spans="1:4">
      <c r="A21" s="26"/>
      <c r="C21">
        <v>10</v>
      </c>
      <c r="D21">
        <f ca="1">'Interpolation T1'!C37</f>
        <v>97.740201624636256</v>
      </c>
    </row>
    <row r="22" spans="1:4">
      <c r="A22" s="26"/>
      <c r="C22">
        <v>15</v>
      </c>
      <c r="D22">
        <f ca="1">'Interpolation T1'!C38</f>
        <v>96.479043749815531</v>
      </c>
    </row>
    <row r="23" spans="1:4">
      <c r="A23" s="26"/>
      <c r="C23">
        <v>20</v>
      </c>
      <c r="D23">
        <f ca="1">'Interpolation T1'!C39</f>
        <v>95.217885874994792</v>
      </c>
    </row>
    <row r="24" spans="1:4">
      <c r="A24" s="26"/>
      <c r="C24">
        <v>25</v>
      </c>
      <c r="D24">
        <f ca="1">'Interpolation T1'!C40</f>
        <v>93.965931665387629</v>
      </c>
    </row>
    <row r="25" spans="1:4">
      <c r="A25" s="26"/>
      <c r="C25">
        <v>30</v>
      </c>
      <c r="D25">
        <f ca="1">'Interpolation T1'!C41</f>
        <v>92.715300727925268</v>
      </c>
    </row>
    <row r="26" spans="1:4">
      <c r="A26" s="26"/>
      <c r="C26">
        <v>35</v>
      </c>
      <c r="D26">
        <f ca="1">'Interpolation T1'!C42</f>
        <v>91.542570757826667</v>
      </c>
    </row>
    <row r="27" spans="1:4">
      <c r="A27" s="26"/>
      <c r="C27">
        <v>40</v>
      </c>
      <c r="D27">
        <f ca="1">'Interpolation T1'!C43</f>
        <v>90.293173051668276</v>
      </c>
    </row>
    <row r="28" spans="1:4">
      <c r="A28" s="26"/>
      <c r="C28">
        <v>45</v>
      </c>
      <c r="D28">
        <f ca="1">'Interpolation T1'!C44</f>
        <v>88.886419489805661</v>
      </c>
    </row>
    <row r="29" spans="1:4">
      <c r="A29" s="26"/>
      <c r="C29">
        <v>50</v>
      </c>
      <c r="D29">
        <f ca="1">'Interpolation T1'!C45</f>
        <v>87.484766893382229</v>
      </c>
    </row>
    <row r="30" spans="1:4">
      <c r="A30" s="26"/>
      <c r="C30">
        <v>55</v>
      </c>
      <c r="D30">
        <f ca="1">'Interpolation T1'!C46</f>
        <v>86.18179838848792</v>
      </c>
    </row>
    <row r="31" spans="1:4">
      <c r="A31" s="26"/>
      <c r="C31">
        <v>60</v>
      </c>
      <c r="D31">
        <f ca="1">'Interpolation T1'!C47</f>
        <v>84.537450854528245</v>
      </c>
    </row>
    <row r="32" spans="1:4">
      <c r="A32" s="26"/>
      <c r="C32">
        <v>65</v>
      </c>
      <c r="D32">
        <f ca="1">'Interpolation T1'!C48</f>
        <v>83.480066789764848</v>
      </c>
    </row>
    <row r="33" spans="1:9">
      <c r="A33" s="26"/>
      <c r="C33">
        <v>70</v>
      </c>
      <c r="D33">
        <f ca="1">'Interpolation T1'!C49</f>
        <v>82.618936289119375</v>
      </c>
    </row>
    <row r="34" spans="1:9">
      <c r="A34" s="26"/>
      <c r="C34">
        <v>75</v>
      </c>
      <c r="D34">
        <f ca="1">'Interpolation T1'!C50</f>
        <v>81.614726853611998</v>
      </c>
    </row>
    <row r="35" spans="1:9">
      <c r="A35" s="26"/>
      <c r="C35">
        <v>80</v>
      </c>
      <c r="D35">
        <f ca="1">'Interpolation T1'!C51</f>
        <v>80.620651134641435</v>
      </c>
    </row>
    <row r="36" spans="1:9">
      <c r="A36" s="26"/>
      <c r="C36">
        <v>85</v>
      </c>
      <c r="D36">
        <f ca="1">'Interpolation T1'!C52</f>
        <v>79.66238319602256</v>
      </c>
    </row>
    <row r="37" spans="1:9">
      <c r="A37" s="26"/>
      <c r="C37">
        <v>90</v>
      </c>
      <c r="D37">
        <f ca="1">'Interpolation T1'!C53</f>
        <v>78.711175020338814</v>
      </c>
    </row>
    <row r="38" spans="1:9">
      <c r="A38" s="26"/>
      <c r="C38">
        <v>95</v>
      </c>
      <c r="D38">
        <f ca="1">'Interpolation T1'!C54</f>
        <v>77.773731819038261</v>
      </c>
    </row>
    <row r="39" spans="1:9">
      <c r="A39" s="26"/>
      <c r="C39">
        <v>100</v>
      </c>
      <c r="D39">
        <f ca="1">'Interpolation T1'!C55</f>
        <v>76.836288617737694</v>
      </c>
    </row>
    <row r="40" spans="1:9">
      <c r="A40" s="3"/>
    </row>
    <row r="42" spans="1:9">
      <c r="C42" s="24" t="s">
        <v>4</v>
      </c>
      <c r="D42" s="24"/>
      <c r="E42" s="24"/>
      <c r="G42" s="24" t="s">
        <v>17</v>
      </c>
      <c r="H42" s="24"/>
      <c r="I42" s="24"/>
    </row>
    <row r="43" spans="1:9">
      <c r="A43" s="25" t="s">
        <v>18</v>
      </c>
      <c r="C43" t="s">
        <v>5</v>
      </c>
      <c r="D43" t="s">
        <v>6</v>
      </c>
      <c r="E43" s="1">
        <f>E5</f>
        <v>650</v>
      </c>
      <c r="G43" t="s">
        <v>5</v>
      </c>
      <c r="H43" t="s">
        <v>6</v>
      </c>
      <c r="I43">
        <f ca="1">I50+I51</f>
        <v>401.10753777371542</v>
      </c>
    </row>
    <row r="44" spans="1:9">
      <c r="A44" s="25"/>
      <c r="C44" t="s">
        <v>7</v>
      </c>
      <c r="D44" t="s">
        <v>8</v>
      </c>
      <c r="E44" s="1">
        <f>E6</f>
        <v>60</v>
      </c>
      <c r="G44" t="s">
        <v>7</v>
      </c>
      <c r="H44" t="s">
        <v>8</v>
      </c>
      <c r="I44">
        <f ca="1">I51*100/I43</f>
        <v>43.753852389333105</v>
      </c>
    </row>
    <row r="45" spans="1:9">
      <c r="A45" s="25"/>
      <c r="C45" t="s">
        <v>19</v>
      </c>
      <c r="D45" t="s">
        <v>8</v>
      </c>
      <c r="E45" s="1">
        <v>80</v>
      </c>
      <c r="G45" t="s">
        <v>19</v>
      </c>
      <c r="H45" t="s">
        <v>8</v>
      </c>
      <c r="I45" s="1">
        <v>80</v>
      </c>
    </row>
    <row r="46" spans="1:9">
      <c r="A46" s="25"/>
      <c r="C46" t="s">
        <v>20</v>
      </c>
      <c r="D46" t="s">
        <v>8</v>
      </c>
      <c r="E46" s="5">
        <v>86</v>
      </c>
      <c r="G46" t="s">
        <v>20</v>
      </c>
      <c r="H46" t="s">
        <v>8</v>
      </c>
      <c r="I46" s="5">
        <f>E46</f>
        <v>86</v>
      </c>
    </row>
    <row r="47" spans="1:9">
      <c r="A47" s="25"/>
      <c r="C47" t="s">
        <v>21</v>
      </c>
      <c r="E47">
        <f ca="1">VLOOKUP(E48,D59:E79,2,FALSE)*100</f>
        <v>55.000000000000007</v>
      </c>
      <c r="G47" t="s">
        <v>22</v>
      </c>
      <c r="I47">
        <f ca="1">VLOOKUP(I48,H59:I79,2,FALSE)*100</f>
        <v>100</v>
      </c>
    </row>
    <row r="48" spans="1:9">
      <c r="A48" s="25"/>
      <c r="C48" t="s">
        <v>10</v>
      </c>
      <c r="D48" t="s">
        <v>8</v>
      </c>
      <c r="E48">
        <f t="array" aca="1" ref="E48" ca="1">INDEX(D59:D79,MATCH(MIN(ABS(D59:D79 - E46)),(ABS(D59:D79 - E46)),0))</f>
        <v>86.18179838848792</v>
      </c>
      <c r="G48" t="s">
        <v>10</v>
      </c>
      <c r="H48" t="s">
        <v>8</v>
      </c>
      <c r="I48" cm="1">
        <f t="array" aca="1" ref="I48" ca="1">INDEX(H59:H79,MATCH(MIN(ABS(H59:H79 - I46)),(ABS(H59:H79 - I46)),0))</f>
        <v>87.026963672592444</v>
      </c>
    </row>
    <row r="49" spans="1:11">
      <c r="A49" s="25"/>
      <c r="E49" s="2"/>
    </row>
    <row r="50" spans="1:11">
      <c r="A50" s="25"/>
      <c r="C50" t="s">
        <v>11</v>
      </c>
      <c r="D50" t="s">
        <v>6</v>
      </c>
      <c r="E50">
        <f>E43-E51</f>
        <v>260</v>
      </c>
      <c r="G50" t="s">
        <v>11</v>
      </c>
      <c r="H50" t="s">
        <v>6</v>
      </c>
      <c r="I50">
        <f ca="1">E50-E53</f>
        <v>225.60753777371545</v>
      </c>
    </row>
    <row r="51" spans="1:11">
      <c r="A51" s="25"/>
      <c r="C51" t="s">
        <v>12</v>
      </c>
      <c r="D51" t="s">
        <v>6</v>
      </c>
      <c r="E51">
        <f>E43*E44/100</f>
        <v>390</v>
      </c>
      <c r="G51" t="s">
        <v>12</v>
      </c>
      <c r="H51" t="s">
        <v>6</v>
      </c>
      <c r="I51">
        <f ca="1">E51-E52</f>
        <v>175.49999999999997</v>
      </c>
    </row>
    <row r="52" spans="1:11">
      <c r="A52" s="25"/>
      <c r="C52" t="s">
        <v>13</v>
      </c>
      <c r="D52" t="s">
        <v>6</v>
      </c>
      <c r="E52">
        <f ca="1">E51*E47/100</f>
        <v>214.50000000000003</v>
      </c>
      <c r="G52" t="s">
        <v>23</v>
      </c>
      <c r="H52" t="s">
        <v>6</v>
      </c>
      <c r="I52">
        <f ca="1">I51*I47/100</f>
        <v>175.49999999999997</v>
      </c>
    </row>
    <row r="53" spans="1:11">
      <c r="A53" s="25"/>
      <c r="C53" t="s">
        <v>14</v>
      </c>
      <c r="D53" t="s">
        <v>6</v>
      </c>
      <c r="E53">
        <f ca="1">((100-E48)/E48)*E52</f>
        <v>34.39246222628455</v>
      </c>
      <c r="G53" t="s">
        <v>24</v>
      </c>
      <c r="H53" t="s">
        <v>6</v>
      </c>
      <c r="I53">
        <f ca="1">((100-I48)/I48)*I52</f>
        <v>26.161637490026003</v>
      </c>
    </row>
    <row r="54" spans="1:11">
      <c r="A54" s="25"/>
    </row>
    <row r="55" spans="1:11">
      <c r="A55" s="25"/>
      <c r="C55" t="s">
        <v>15</v>
      </c>
      <c r="D55" t="s">
        <v>8</v>
      </c>
      <c r="E55">
        <f ca="1">E47</f>
        <v>55.000000000000007</v>
      </c>
      <c r="G55" t="s">
        <v>15</v>
      </c>
      <c r="H55" t="s">
        <v>8</v>
      </c>
      <c r="I55" s="23">
        <f ca="1">(I52+E52)*100/E51</f>
        <v>100</v>
      </c>
    </row>
    <row r="56" spans="1:11">
      <c r="A56" s="25"/>
      <c r="C56" t="s">
        <v>16</v>
      </c>
      <c r="D56" t="s">
        <v>6</v>
      </c>
      <c r="E56">
        <f ca="1">E53</f>
        <v>34.39246222628455</v>
      </c>
      <c r="G56" t="s">
        <v>25</v>
      </c>
      <c r="H56" t="s">
        <v>6</v>
      </c>
      <c r="I56">
        <f ca="1">E56+I53</f>
        <v>60.554099716310553</v>
      </c>
      <c r="J56" t="s">
        <v>1</v>
      </c>
      <c r="K56">
        <f ca="1">(I56*E1)/(E52+I52)</f>
        <v>123.62352357468323</v>
      </c>
    </row>
    <row r="57" spans="1:11">
      <c r="A57" s="25"/>
    </row>
    <row r="58" spans="1:11">
      <c r="A58" s="25"/>
      <c r="C58" t="s">
        <v>9</v>
      </c>
      <c r="D58" t="s">
        <v>10</v>
      </c>
      <c r="G58" t="s">
        <v>9</v>
      </c>
      <c r="H58" t="s">
        <v>10</v>
      </c>
    </row>
    <row r="59" spans="1:11">
      <c r="A59" s="25"/>
      <c r="C59">
        <v>0</v>
      </c>
      <c r="D59">
        <f ca="1">'Interpolation T2'!C35</f>
        <v>99.242446045855772</v>
      </c>
      <c r="E59">
        <f>C59/100</f>
        <v>0</v>
      </c>
      <c r="G59">
        <v>0</v>
      </c>
      <c r="H59">
        <f ca="1">'Interpolation T2'!C63</f>
        <v>99.12319651799568</v>
      </c>
      <c r="I59">
        <f>G59/100</f>
        <v>0</v>
      </c>
    </row>
    <row r="60" spans="1:11">
      <c r="A60" s="25"/>
      <c r="C60">
        <v>5</v>
      </c>
      <c r="D60">
        <f ca="1">'Interpolation T2'!C36</f>
        <v>99.001359499456981</v>
      </c>
      <c r="E60">
        <f t="shared" ref="E60:E79" si="0">C60/100</f>
        <v>0.05</v>
      </c>
      <c r="G60">
        <v>5</v>
      </c>
      <c r="H60">
        <f ca="1">'Interpolation T2'!C64</f>
        <v>99.11208327562008</v>
      </c>
      <c r="I60">
        <f t="shared" ref="I60:I79" si="1">G60/100</f>
        <v>0.05</v>
      </c>
    </row>
    <row r="61" spans="1:11">
      <c r="A61" s="25"/>
      <c r="C61">
        <v>10</v>
      </c>
      <c r="D61">
        <f ca="1">'Interpolation T2'!C37</f>
        <v>97.740201624636256</v>
      </c>
      <c r="E61">
        <f t="shared" si="0"/>
        <v>0.1</v>
      </c>
      <c r="G61">
        <v>10</v>
      </c>
      <c r="H61">
        <f ca="1">'Interpolation T2'!C65</f>
        <v>98.989084402500708</v>
      </c>
      <c r="I61">
        <f t="shared" si="1"/>
        <v>0.1</v>
      </c>
    </row>
    <row r="62" spans="1:11">
      <c r="A62" s="25"/>
      <c r="C62">
        <v>15</v>
      </c>
      <c r="D62">
        <f ca="1">'Interpolation T2'!C38</f>
        <v>96.479043749815531</v>
      </c>
      <c r="E62">
        <f t="shared" si="0"/>
        <v>0.15</v>
      </c>
      <c r="G62">
        <v>15</v>
      </c>
      <c r="H62">
        <f ca="1">'Interpolation T2'!C66</f>
        <v>98.866085529381337</v>
      </c>
      <c r="I62">
        <f t="shared" si="1"/>
        <v>0.15</v>
      </c>
    </row>
    <row r="63" spans="1:11">
      <c r="A63" s="25"/>
      <c r="C63">
        <v>20</v>
      </c>
      <c r="D63">
        <f ca="1">'Interpolation T2'!C39</f>
        <v>95.217885874994792</v>
      </c>
      <c r="E63">
        <f t="shared" si="0"/>
        <v>0.2</v>
      </c>
      <c r="G63">
        <v>20</v>
      </c>
      <c r="H63">
        <f ca="1">'Interpolation T2'!C67</f>
        <v>98.278553390355839</v>
      </c>
      <c r="I63">
        <f t="shared" si="1"/>
        <v>0.2</v>
      </c>
    </row>
    <row r="64" spans="1:11">
      <c r="A64" s="25"/>
      <c r="C64">
        <v>25</v>
      </c>
      <c r="D64">
        <f ca="1">'Interpolation T2'!C40</f>
        <v>93.965931665387629</v>
      </c>
      <c r="E64">
        <f t="shared" si="0"/>
        <v>0.25</v>
      </c>
      <c r="G64">
        <v>25</v>
      </c>
      <c r="H64">
        <f ca="1">'Interpolation T2'!C68</f>
        <v>97.495625352686844</v>
      </c>
      <c r="I64">
        <f t="shared" si="1"/>
        <v>0.25</v>
      </c>
    </row>
    <row r="65" spans="1:9">
      <c r="A65" s="25"/>
      <c r="C65">
        <v>30</v>
      </c>
      <c r="D65">
        <f ca="1">'Interpolation T2'!C41</f>
        <v>92.715300727925268</v>
      </c>
      <c r="E65">
        <f t="shared" si="0"/>
        <v>0.3</v>
      </c>
      <c r="G65">
        <v>30</v>
      </c>
      <c r="H65">
        <f ca="1">'Interpolation T2'!C69</f>
        <v>96.712697315017834</v>
      </c>
      <c r="I65">
        <f t="shared" si="1"/>
        <v>0.3</v>
      </c>
    </row>
    <row r="66" spans="1:9">
      <c r="A66" s="25"/>
      <c r="C66">
        <v>35</v>
      </c>
      <c r="D66">
        <f ca="1">'Interpolation T2'!C42</f>
        <v>91.542570757826667</v>
      </c>
      <c r="E66">
        <f t="shared" si="0"/>
        <v>0.35</v>
      </c>
      <c r="G66">
        <v>35</v>
      </c>
      <c r="H66">
        <f ca="1">'Interpolation T2'!C70</f>
        <v>96.367190918742438</v>
      </c>
      <c r="I66">
        <f t="shared" si="1"/>
        <v>0.35</v>
      </c>
    </row>
    <row r="67" spans="1:9">
      <c r="A67" s="25"/>
      <c r="C67">
        <v>40</v>
      </c>
      <c r="D67">
        <f ca="1">'Interpolation T2'!C43</f>
        <v>90.293173051668276</v>
      </c>
      <c r="E67">
        <f t="shared" si="0"/>
        <v>0.4</v>
      </c>
      <c r="G67">
        <v>40</v>
      </c>
      <c r="H67">
        <f ca="1">'Interpolation T2'!C71</f>
        <v>96.041404598248036</v>
      </c>
      <c r="I67">
        <f t="shared" si="1"/>
        <v>0.4</v>
      </c>
    </row>
    <row r="68" spans="1:9">
      <c r="A68" s="25"/>
      <c r="C68">
        <v>45</v>
      </c>
      <c r="D68">
        <f ca="1">'Interpolation T2'!C44</f>
        <v>88.886419489805661</v>
      </c>
      <c r="E68">
        <f t="shared" si="0"/>
        <v>0.45</v>
      </c>
      <c r="G68">
        <v>45</v>
      </c>
      <c r="H68">
        <f ca="1">'Interpolation T2'!C72</f>
        <v>95.585048525216337</v>
      </c>
      <c r="I68">
        <f t="shared" si="1"/>
        <v>0.45</v>
      </c>
    </row>
    <row r="69" spans="1:9">
      <c r="A69" s="25"/>
      <c r="C69">
        <v>50</v>
      </c>
      <c r="D69">
        <f ca="1">'Interpolation T2'!C45</f>
        <v>87.484766893382229</v>
      </c>
      <c r="E69">
        <f t="shared" si="0"/>
        <v>0.5</v>
      </c>
      <c r="G69">
        <v>50</v>
      </c>
      <c r="H69">
        <f ca="1">'Interpolation T2'!C73</f>
        <v>95.160869005871291</v>
      </c>
      <c r="I69">
        <f t="shared" si="1"/>
        <v>0.5</v>
      </c>
    </row>
    <row r="70" spans="1:9">
      <c r="A70" s="25"/>
      <c r="C70">
        <v>55</v>
      </c>
      <c r="D70">
        <f ca="1">'Interpolation T2'!C46</f>
        <v>86.18179838848792</v>
      </c>
      <c r="E70">
        <f t="shared" si="0"/>
        <v>0.55000000000000004</v>
      </c>
      <c r="G70">
        <v>55</v>
      </c>
      <c r="H70">
        <f ca="1">'Interpolation T2'!C74</f>
        <v>94.974700706313257</v>
      </c>
      <c r="I70">
        <f t="shared" si="1"/>
        <v>0.55000000000000004</v>
      </c>
    </row>
    <row r="71" spans="1:9">
      <c r="A71" s="25"/>
      <c r="C71">
        <v>60</v>
      </c>
      <c r="D71">
        <f ca="1">'Interpolation T2'!C47</f>
        <v>84.537450854528245</v>
      </c>
      <c r="E71">
        <f t="shared" si="0"/>
        <v>0.6</v>
      </c>
      <c r="G71">
        <v>60</v>
      </c>
      <c r="H71">
        <f ca="1">'Interpolation T2'!C75</f>
        <v>94.11987632601614</v>
      </c>
      <c r="I71">
        <f t="shared" si="1"/>
        <v>0.6</v>
      </c>
    </row>
    <row r="72" spans="1:9">
      <c r="A72" s="25"/>
      <c r="C72">
        <v>65</v>
      </c>
      <c r="D72">
        <f ca="1">'Interpolation T2'!C48</f>
        <v>83.480066789764848</v>
      </c>
      <c r="E72">
        <f t="shared" si="0"/>
        <v>0.65</v>
      </c>
      <c r="G72">
        <v>65</v>
      </c>
      <c r="H72">
        <f ca="1">'Interpolation T2'!C76</f>
        <v>93.435823833360331</v>
      </c>
      <c r="I72">
        <f t="shared" si="1"/>
        <v>0.65</v>
      </c>
    </row>
    <row r="73" spans="1:9">
      <c r="A73" s="25"/>
      <c r="C73">
        <v>70</v>
      </c>
      <c r="D73">
        <f ca="1">'Interpolation T2'!C49</f>
        <v>82.618936289119375</v>
      </c>
      <c r="E73">
        <f t="shared" si="0"/>
        <v>0.7</v>
      </c>
      <c r="G73">
        <v>70</v>
      </c>
      <c r="H73">
        <f ca="1">'Interpolation T2'!C77</f>
        <v>92.746280743227061</v>
      </c>
      <c r="I73">
        <f t="shared" si="1"/>
        <v>0.7</v>
      </c>
    </row>
    <row r="74" spans="1:9">
      <c r="A74" s="25"/>
      <c r="C74">
        <v>75</v>
      </c>
      <c r="D74">
        <f ca="1">'Interpolation T2'!C50</f>
        <v>81.614726853611998</v>
      </c>
      <c r="E74">
        <f t="shared" si="0"/>
        <v>0.75</v>
      </c>
      <c r="G74">
        <v>75</v>
      </c>
      <c r="H74">
        <f ca="1">'Interpolation T2'!C78</f>
        <v>91.867782295605153</v>
      </c>
      <c r="I74">
        <f t="shared" si="1"/>
        <v>0.75</v>
      </c>
    </row>
    <row r="75" spans="1:9">
      <c r="A75" s="25"/>
      <c r="C75">
        <v>80</v>
      </c>
      <c r="D75">
        <f ca="1">'Interpolation T2'!C51</f>
        <v>80.620651134641435</v>
      </c>
      <c r="E75">
        <f t="shared" si="0"/>
        <v>0.8</v>
      </c>
      <c r="G75">
        <v>80</v>
      </c>
      <c r="H75">
        <f ca="1">'Interpolation T2'!C79</f>
        <v>90.998685060786414</v>
      </c>
      <c r="I75">
        <f t="shared" si="1"/>
        <v>0.8</v>
      </c>
    </row>
    <row r="76" spans="1:9">
      <c r="A76" s="25"/>
      <c r="C76">
        <v>85</v>
      </c>
      <c r="D76">
        <f ca="1">'Interpolation T2'!C52</f>
        <v>79.66238319602256</v>
      </c>
      <c r="E76">
        <f t="shared" si="0"/>
        <v>0.85</v>
      </c>
      <c r="G76">
        <v>85</v>
      </c>
      <c r="H76">
        <f ca="1">'Interpolation T2'!C80</f>
        <v>90.047760826566616</v>
      </c>
      <c r="I76">
        <f t="shared" si="1"/>
        <v>0.85</v>
      </c>
    </row>
    <row r="77" spans="1:9">
      <c r="A77" s="25"/>
      <c r="C77">
        <v>90</v>
      </c>
      <c r="D77">
        <f ca="1">'Interpolation T2'!C53</f>
        <v>78.711175020338814</v>
      </c>
      <c r="E77">
        <f t="shared" si="0"/>
        <v>0.9</v>
      </c>
      <c r="G77">
        <v>90</v>
      </c>
      <c r="H77">
        <f ca="1">'Interpolation T2'!C81</f>
        <v>89.100212190941335</v>
      </c>
      <c r="I77">
        <f t="shared" si="1"/>
        <v>0.9</v>
      </c>
    </row>
    <row r="78" spans="1:9">
      <c r="A78" s="25"/>
      <c r="C78">
        <v>95</v>
      </c>
      <c r="D78">
        <f ca="1">'Interpolation T2'!C54</f>
        <v>77.773731819038261</v>
      </c>
      <c r="E78">
        <f t="shared" si="0"/>
        <v>0.95</v>
      </c>
      <c r="G78">
        <v>95</v>
      </c>
      <c r="H78">
        <f ca="1">'Interpolation T2'!C82</f>
        <v>88.063587931766847</v>
      </c>
      <c r="I78">
        <f t="shared" si="1"/>
        <v>0.95</v>
      </c>
    </row>
    <row r="79" spans="1:9">
      <c r="A79" s="25"/>
      <c r="C79">
        <v>100</v>
      </c>
      <c r="D79">
        <f ca="1">'Interpolation T2'!C55</f>
        <v>76.836288617737694</v>
      </c>
      <c r="E79">
        <f t="shared" si="0"/>
        <v>1</v>
      </c>
      <c r="G79">
        <v>100</v>
      </c>
      <c r="H79">
        <f ca="1">'Interpolation T2'!C83</f>
        <v>87.026963672592444</v>
      </c>
      <c r="I79">
        <f t="shared" si="1"/>
        <v>1</v>
      </c>
    </row>
    <row r="83" spans="1:13">
      <c r="A83" s="25" t="s">
        <v>26</v>
      </c>
      <c r="C83" s="24" t="s">
        <v>4</v>
      </c>
      <c r="D83" s="24"/>
      <c r="E83" s="24"/>
      <c r="G83" s="24" t="s">
        <v>17</v>
      </c>
      <c r="H83" s="24"/>
      <c r="I83" s="24"/>
      <c r="K83" s="24" t="s">
        <v>27</v>
      </c>
      <c r="L83" s="24"/>
      <c r="M83" s="24"/>
    </row>
    <row r="84" spans="1:13">
      <c r="A84" s="25"/>
      <c r="C84" t="s">
        <v>5</v>
      </c>
      <c r="D84" t="s">
        <v>6</v>
      </c>
      <c r="E84" s="1">
        <f>E5</f>
        <v>650</v>
      </c>
      <c r="G84" t="s">
        <v>5</v>
      </c>
      <c r="H84" t="s">
        <v>6</v>
      </c>
      <c r="I84">
        <f ca="1">I91+I92</f>
        <v>477.22946295094488</v>
      </c>
      <c r="K84" t="s">
        <v>5</v>
      </c>
      <c r="L84" t="s">
        <v>6</v>
      </c>
      <c r="M84">
        <f ca="1">M91+M92</f>
        <v>268.18054900597076</v>
      </c>
    </row>
    <row r="85" spans="1:13">
      <c r="A85" s="25"/>
      <c r="C85" t="s">
        <v>7</v>
      </c>
      <c r="D85" t="s">
        <v>8</v>
      </c>
      <c r="E85" s="1">
        <f>E6</f>
        <v>60</v>
      </c>
      <c r="G85" t="s">
        <v>7</v>
      </c>
      <c r="H85" t="s">
        <v>8</v>
      </c>
      <c r="I85">
        <f ca="1">I92*100/I84</f>
        <v>49.03301622516404</v>
      </c>
      <c r="K85" t="s">
        <v>7</v>
      </c>
      <c r="L85" t="s">
        <v>8</v>
      </c>
      <c r="M85">
        <f ca="1">M92*100/M84</f>
        <v>17.450930044504478</v>
      </c>
    </row>
    <row r="86" spans="1:13">
      <c r="A86" s="25"/>
      <c r="C86" t="s">
        <v>19</v>
      </c>
      <c r="D86" t="s">
        <v>8</v>
      </c>
      <c r="E86" s="1">
        <v>80</v>
      </c>
      <c r="G86" t="s">
        <v>19</v>
      </c>
      <c r="H86" t="s">
        <v>8</v>
      </c>
      <c r="I86" s="1">
        <v>80</v>
      </c>
      <c r="K86" t="s">
        <v>19</v>
      </c>
      <c r="L86" t="s">
        <v>8</v>
      </c>
      <c r="M86" s="1">
        <v>80</v>
      </c>
    </row>
    <row r="87" spans="1:13">
      <c r="A87" s="25"/>
      <c r="C87" t="s">
        <v>20</v>
      </c>
      <c r="D87" t="s">
        <v>8</v>
      </c>
      <c r="E87" s="5">
        <v>90</v>
      </c>
      <c r="G87" t="s">
        <v>20</v>
      </c>
      <c r="H87" t="s">
        <v>8</v>
      </c>
      <c r="I87" s="5">
        <f>E87</f>
        <v>90</v>
      </c>
      <c r="K87" t="s">
        <v>20</v>
      </c>
      <c r="L87" t="s">
        <v>8</v>
      </c>
      <c r="M87" s="5">
        <f>I87</f>
        <v>90</v>
      </c>
    </row>
    <row r="88" spans="1:13">
      <c r="A88" s="25"/>
      <c r="C88" t="s">
        <v>21</v>
      </c>
      <c r="E88">
        <f ca="1">VLOOKUP(E89,D100:E120,2,FALSE)*100</f>
        <v>40</v>
      </c>
      <c r="G88" t="s">
        <v>22</v>
      </c>
      <c r="I88">
        <f ca="1">VLOOKUP(I89,H100:I120,2,FALSE)*100</f>
        <v>80</v>
      </c>
      <c r="K88" t="s">
        <v>28</v>
      </c>
      <c r="M88">
        <f ca="1">VLOOKUP(M89,L100:M120,2,FALSE)*100</f>
        <v>100</v>
      </c>
    </row>
    <row r="89" spans="1:13">
      <c r="A89" s="25"/>
      <c r="C89" t="s">
        <v>10</v>
      </c>
      <c r="D89" t="s">
        <v>8</v>
      </c>
      <c r="E89">
        <f t="array" aca="1" ref="E89" ca="1">INDEX(D100:D120,MATCH(MIN(ABS(D100:D120 - E87)),(ABS(D100:D120 - E87)),0))</f>
        <v>90.293173051668276</v>
      </c>
      <c r="G89" t="s">
        <v>10</v>
      </c>
      <c r="H89" t="s">
        <v>8</v>
      </c>
      <c r="I89">
        <f t="array" aca="1" ref="I89" ca="1">INDEX(H100:H120,MATCH(MIN(ABS(H100:H120 - I87)),(ABS(H100:H120 - I87)),0))</f>
        <v>89.548420255976467</v>
      </c>
      <c r="K89" t="s">
        <v>10</v>
      </c>
      <c r="L89" t="s">
        <v>8</v>
      </c>
      <c r="M89">
        <f t="array" aca="1" ref="M89" ca="1">INDEX(L100:L120,MATCH(MIN(ABS(L100:L120 - M87)),(ABS(L100:L120 - M87)),0))</f>
        <v>96.013683946686811</v>
      </c>
    </row>
    <row r="90" spans="1:13">
      <c r="A90" s="25"/>
      <c r="E90" s="2"/>
    </row>
    <row r="91" spans="1:13">
      <c r="A91" s="25"/>
      <c r="C91" t="s">
        <v>11</v>
      </c>
      <c r="D91" t="s">
        <v>6</v>
      </c>
      <c r="E91">
        <f>E84-E92</f>
        <v>260</v>
      </c>
      <c r="G91" t="s">
        <v>11</v>
      </c>
      <c r="H91" t="s">
        <v>6</v>
      </c>
      <c r="I91">
        <f ca="1">E91-E94</f>
        <v>243.22946295094488</v>
      </c>
      <c r="K91" t="s">
        <v>11</v>
      </c>
      <c r="L91" t="s">
        <v>6</v>
      </c>
      <c r="M91">
        <f ca="1">I91-I94</f>
        <v>221.38054900597078</v>
      </c>
    </row>
    <row r="92" spans="1:13">
      <c r="A92" s="25"/>
      <c r="C92" t="s">
        <v>12</v>
      </c>
      <c r="D92" t="s">
        <v>6</v>
      </c>
      <c r="E92">
        <f>E84*E85/100</f>
        <v>390</v>
      </c>
      <c r="G92" t="s">
        <v>12</v>
      </c>
      <c r="H92" t="s">
        <v>6</v>
      </c>
      <c r="I92">
        <f ca="1">E92-E93</f>
        <v>234</v>
      </c>
      <c r="K92" t="s">
        <v>12</v>
      </c>
      <c r="L92" t="s">
        <v>6</v>
      </c>
      <c r="M92">
        <f ca="1">I92-I93</f>
        <v>46.800000000000011</v>
      </c>
    </row>
    <row r="93" spans="1:13">
      <c r="A93" s="25"/>
      <c r="C93" t="s">
        <v>13</v>
      </c>
      <c r="D93" t="s">
        <v>6</v>
      </c>
      <c r="E93">
        <f ca="1">E92*E88/100</f>
        <v>156</v>
      </c>
      <c r="G93" t="s">
        <v>23</v>
      </c>
      <c r="H93" t="s">
        <v>6</v>
      </c>
      <c r="I93">
        <f ca="1">I88*I92/100</f>
        <v>187.2</v>
      </c>
      <c r="K93" t="s">
        <v>29</v>
      </c>
      <c r="L93" t="s">
        <v>6</v>
      </c>
      <c r="M93">
        <f ca="1">M88*M92/100</f>
        <v>46.800000000000011</v>
      </c>
    </row>
    <row r="94" spans="1:13">
      <c r="A94" s="25"/>
      <c r="C94" t="s">
        <v>14</v>
      </c>
      <c r="D94" t="s">
        <v>6</v>
      </c>
      <c r="E94">
        <f ca="1">((100-E89)/E89)*E93</f>
        <v>16.770537049055129</v>
      </c>
      <c r="G94" t="s">
        <v>24</v>
      </c>
      <c r="H94" t="s">
        <v>6</v>
      </c>
      <c r="I94">
        <f ca="1">((100-I89)/I89)*I93</f>
        <v>21.848913944974097</v>
      </c>
      <c r="K94" t="s">
        <v>30</v>
      </c>
      <c r="L94" t="s">
        <v>6</v>
      </c>
      <c r="M94">
        <f ca="1">((100-M89)/M89)*M93</f>
        <v>1.9430521111828976</v>
      </c>
    </row>
    <row r="95" spans="1:13">
      <c r="A95" s="25"/>
    </row>
    <row r="96" spans="1:13">
      <c r="A96" s="25"/>
      <c r="C96" t="s">
        <v>15</v>
      </c>
      <c r="D96" t="s">
        <v>8</v>
      </c>
      <c r="E96">
        <f ca="1">E88</f>
        <v>40</v>
      </c>
      <c r="G96" t="s">
        <v>15</v>
      </c>
      <c r="H96" t="s">
        <v>8</v>
      </c>
      <c r="I96">
        <f ca="1">(I93+E93)*100/E92</f>
        <v>88</v>
      </c>
      <c r="K96" t="s">
        <v>15</v>
      </c>
      <c r="L96" t="s">
        <v>8</v>
      </c>
      <c r="M96" s="23">
        <f ca="1">(M93+I93+E93)*100/E92</f>
        <v>100</v>
      </c>
    </row>
    <row r="97" spans="1:15">
      <c r="A97" s="25"/>
      <c r="C97" t="s">
        <v>16</v>
      </c>
      <c r="D97" t="s">
        <v>6</v>
      </c>
      <c r="E97">
        <f ca="1">E94</f>
        <v>16.770537049055129</v>
      </c>
      <c r="G97" t="s">
        <v>25</v>
      </c>
      <c r="H97" t="s">
        <v>6</v>
      </c>
      <c r="I97">
        <f ca="1">E97+I94</f>
        <v>38.619450994029222</v>
      </c>
      <c r="K97" t="s">
        <v>31</v>
      </c>
      <c r="L97" t="s">
        <v>6</v>
      </c>
      <c r="M97">
        <f ca="1">I97+M94</f>
        <v>40.562503105212123</v>
      </c>
      <c r="N97" t="s">
        <v>1</v>
      </c>
      <c r="O97">
        <f ca="1">(M97*E1)/(E93+I93+M93)</f>
        <v>82.809910185563837</v>
      </c>
    </row>
    <row r="98" spans="1:15">
      <c r="A98" s="25"/>
    </row>
    <row r="99" spans="1:15">
      <c r="A99" s="25"/>
      <c r="C99" t="s">
        <v>9</v>
      </c>
      <c r="D99" t="s">
        <v>10</v>
      </c>
      <c r="G99" t="s">
        <v>9</v>
      </c>
      <c r="H99" t="s">
        <v>10</v>
      </c>
      <c r="K99" t="s">
        <v>9</v>
      </c>
      <c r="L99" t="s">
        <v>10</v>
      </c>
    </row>
    <row r="100" spans="1:15">
      <c r="A100" s="25"/>
      <c r="C100">
        <v>0</v>
      </c>
      <c r="D100">
        <f ca="1">'Interpolation T3'!C35</f>
        <v>99.242446045855772</v>
      </c>
      <c r="E100">
        <f>C100/100</f>
        <v>0</v>
      </c>
      <c r="G100">
        <v>0</v>
      </c>
      <c r="H100">
        <f ca="1">'Interpolation T3'!C63</f>
        <v>99.702093214121774</v>
      </c>
      <c r="I100">
        <f>G100/100</f>
        <v>0</v>
      </c>
      <c r="K100">
        <v>0</v>
      </c>
      <c r="L100">
        <f ca="1">'Interpolation T3'!C91</f>
        <v>99.961038707222144</v>
      </c>
      <c r="M100">
        <f>K100/100</f>
        <v>0</v>
      </c>
    </row>
    <row r="101" spans="1:15">
      <c r="A101" s="25"/>
      <c r="C101">
        <v>5</v>
      </c>
      <c r="D101">
        <f ca="1">'Interpolation T3'!C36</f>
        <v>99.001359499456981</v>
      </c>
      <c r="E101">
        <f t="shared" ref="E101:E120" si="2">C101/100</f>
        <v>0.05</v>
      </c>
      <c r="G101">
        <v>5</v>
      </c>
      <c r="H101">
        <f ca="1">'Interpolation T3'!C64</f>
        <v>99.698552147247668</v>
      </c>
      <c r="I101">
        <f t="shared" ref="I101:I120" si="3">G101/100</f>
        <v>0.05</v>
      </c>
      <c r="K101">
        <v>5</v>
      </c>
      <c r="L101">
        <f ca="1">'Interpolation T3'!C92</f>
        <v>99.961038707222144</v>
      </c>
      <c r="M101">
        <f t="shared" ref="M101:M120" si="4">K101/100</f>
        <v>0.05</v>
      </c>
    </row>
    <row r="102" spans="1:15">
      <c r="A102" s="25"/>
      <c r="C102">
        <v>10</v>
      </c>
      <c r="D102">
        <f ca="1">'Interpolation T3'!C37</f>
        <v>97.740201624636256</v>
      </c>
      <c r="E102">
        <f t="shared" si="2"/>
        <v>0.1</v>
      </c>
      <c r="G102">
        <v>10</v>
      </c>
      <c r="H102">
        <f ca="1">'Interpolation T3'!C65</f>
        <v>99.423611007203675</v>
      </c>
      <c r="I102">
        <f t="shared" si="3"/>
        <v>0.1</v>
      </c>
      <c r="K102">
        <v>10</v>
      </c>
      <c r="L102">
        <f ca="1">'Interpolation T3'!C93</f>
        <v>99.961038707222144</v>
      </c>
      <c r="M102">
        <f t="shared" si="4"/>
        <v>0.1</v>
      </c>
    </row>
    <row r="103" spans="1:15">
      <c r="A103" s="25"/>
      <c r="C103">
        <v>15</v>
      </c>
      <c r="D103">
        <f ca="1">'Interpolation T3'!C38</f>
        <v>96.479043749815531</v>
      </c>
      <c r="E103">
        <f t="shared" si="2"/>
        <v>0.15</v>
      </c>
      <c r="G103">
        <v>15</v>
      </c>
      <c r="H103">
        <f ca="1">'Interpolation T3'!C66</f>
        <v>99.148669867159725</v>
      </c>
      <c r="I103">
        <f t="shared" si="3"/>
        <v>0.15</v>
      </c>
      <c r="K103">
        <v>15</v>
      </c>
      <c r="L103">
        <f ca="1">'Interpolation T3'!C94</f>
        <v>99.961038707222144</v>
      </c>
      <c r="M103">
        <f t="shared" si="4"/>
        <v>0.15</v>
      </c>
    </row>
    <row r="104" spans="1:15">
      <c r="A104" s="25"/>
      <c r="C104">
        <v>20</v>
      </c>
      <c r="D104">
        <f ca="1">'Interpolation T3'!C39</f>
        <v>95.217885874994792</v>
      </c>
      <c r="E104">
        <f t="shared" si="2"/>
        <v>0.2</v>
      </c>
      <c r="G104">
        <v>20</v>
      </c>
      <c r="H104">
        <f ca="1">'Interpolation T3'!C67</f>
        <v>98.747669061524917</v>
      </c>
      <c r="I104">
        <f t="shared" si="3"/>
        <v>0.2</v>
      </c>
      <c r="K104">
        <v>20</v>
      </c>
      <c r="L104">
        <f ca="1">'Interpolation T3'!C95</f>
        <v>99.961038707222144</v>
      </c>
      <c r="M104">
        <f t="shared" si="4"/>
        <v>0.2</v>
      </c>
    </row>
    <row r="105" spans="1:15">
      <c r="A105" s="25"/>
      <c r="C105">
        <v>25</v>
      </c>
      <c r="D105">
        <f ca="1">'Interpolation T3'!C40</f>
        <v>93.965931665387629</v>
      </c>
      <c r="E105">
        <f t="shared" si="2"/>
        <v>0.25</v>
      </c>
      <c r="G105">
        <v>25</v>
      </c>
      <c r="H105">
        <f ca="1">'Interpolation T3'!C68</f>
        <v>98.293643976578721</v>
      </c>
      <c r="I105">
        <f t="shared" si="3"/>
        <v>0.25</v>
      </c>
      <c r="K105">
        <v>25</v>
      </c>
      <c r="L105">
        <f ca="1">'Interpolation T3'!C96</f>
        <v>99.961038707222144</v>
      </c>
      <c r="M105">
        <f t="shared" si="4"/>
        <v>0.25</v>
      </c>
    </row>
    <row r="106" spans="1:15">
      <c r="A106" s="25"/>
      <c r="C106">
        <v>30</v>
      </c>
      <c r="D106">
        <f ca="1">'Interpolation T3'!C41</f>
        <v>92.715300727925268</v>
      </c>
      <c r="E106">
        <f t="shared" si="2"/>
        <v>0.3</v>
      </c>
      <c r="G106">
        <v>30</v>
      </c>
      <c r="H106">
        <f ca="1">'Interpolation T3'!C69</f>
        <v>97.83961889163254</v>
      </c>
      <c r="I106">
        <f t="shared" si="3"/>
        <v>0.3</v>
      </c>
      <c r="K106">
        <v>30</v>
      </c>
      <c r="L106">
        <f ca="1">'Interpolation T3'!C97</f>
        <v>99.961038707222144</v>
      </c>
      <c r="M106">
        <f t="shared" si="4"/>
        <v>0.3</v>
      </c>
    </row>
    <row r="107" spans="1:15">
      <c r="A107" s="25"/>
      <c r="C107">
        <v>35</v>
      </c>
      <c r="D107">
        <f ca="1">'Interpolation T3'!C42</f>
        <v>91.542570757826667</v>
      </c>
      <c r="E107">
        <f t="shared" si="2"/>
        <v>0.35</v>
      </c>
      <c r="G107">
        <v>35</v>
      </c>
      <c r="H107">
        <f ca="1">'Interpolation T3'!C70</f>
        <v>97.622548175310584</v>
      </c>
      <c r="I107">
        <f t="shared" si="3"/>
        <v>0.35</v>
      </c>
      <c r="K107">
        <v>35</v>
      </c>
      <c r="L107">
        <f ca="1">'Interpolation T3'!C98</f>
        <v>99.961038707222144</v>
      </c>
      <c r="M107">
        <f t="shared" si="4"/>
        <v>0.35</v>
      </c>
    </row>
    <row r="108" spans="1:15">
      <c r="A108" s="25"/>
      <c r="C108">
        <v>40</v>
      </c>
      <c r="D108">
        <f ca="1">'Interpolation T3'!C43</f>
        <v>90.293173051668276</v>
      </c>
      <c r="E108">
        <f t="shared" si="2"/>
        <v>0.4</v>
      </c>
      <c r="G108">
        <v>40</v>
      </c>
      <c r="H108">
        <f ca="1">'Interpolation T3'!C71</f>
        <v>97.434240877373554</v>
      </c>
      <c r="I108">
        <f t="shared" si="3"/>
        <v>0.4</v>
      </c>
      <c r="K108">
        <v>40</v>
      </c>
      <c r="L108">
        <f ca="1">'Interpolation T3'!C99</f>
        <v>99.850498821287928</v>
      </c>
      <c r="M108">
        <f t="shared" si="4"/>
        <v>0.4</v>
      </c>
    </row>
    <row r="109" spans="1:15">
      <c r="A109" s="25"/>
      <c r="C109">
        <v>45</v>
      </c>
      <c r="D109">
        <f ca="1">'Interpolation T3'!C44</f>
        <v>88.886419489805661</v>
      </c>
      <c r="E109">
        <f t="shared" si="2"/>
        <v>0.45</v>
      </c>
      <c r="G109">
        <v>45</v>
      </c>
      <c r="H109">
        <f ca="1">'Interpolation T3'!C72</f>
        <v>96.929211582547097</v>
      </c>
      <c r="I109">
        <f t="shared" si="3"/>
        <v>0.45</v>
      </c>
      <c r="K109">
        <v>45</v>
      </c>
      <c r="L109">
        <f ca="1">'Interpolation T3'!C100</f>
        <v>99.739958935353712</v>
      </c>
      <c r="M109">
        <f t="shared" si="4"/>
        <v>0.45</v>
      </c>
    </row>
    <row r="110" spans="1:15">
      <c r="A110" s="25"/>
      <c r="C110">
        <v>50</v>
      </c>
      <c r="D110">
        <f ca="1">'Interpolation T3'!C45</f>
        <v>87.484766893382229</v>
      </c>
      <c r="E110">
        <f t="shared" si="2"/>
        <v>0.5</v>
      </c>
      <c r="G110">
        <v>50</v>
      </c>
      <c r="H110">
        <f ca="1">'Interpolation T3'!C73</f>
        <v>96.515164300820942</v>
      </c>
      <c r="I110">
        <f t="shared" si="3"/>
        <v>0.5</v>
      </c>
      <c r="K110">
        <v>50</v>
      </c>
      <c r="L110">
        <f ca="1">'Interpolation T3'!C101</f>
        <v>99.594381730503585</v>
      </c>
      <c r="M110">
        <f t="shared" si="4"/>
        <v>0.5</v>
      </c>
    </row>
    <row r="111" spans="1:15">
      <c r="A111" s="25"/>
      <c r="C111">
        <v>55</v>
      </c>
      <c r="D111">
        <f ca="1">'Interpolation T3'!C46</f>
        <v>86.18179838848792</v>
      </c>
      <c r="E111">
        <f t="shared" si="2"/>
        <v>0.55000000000000004</v>
      </c>
      <c r="G111">
        <v>55</v>
      </c>
      <c r="H111">
        <f ca="1">'Interpolation T3'!C74</f>
        <v>96.583427016897076</v>
      </c>
      <c r="I111">
        <f t="shared" si="3"/>
        <v>0.55000000000000004</v>
      </c>
      <c r="K111">
        <v>55</v>
      </c>
      <c r="L111">
        <f ca="1">'Interpolation T3'!C102</f>
        <v>99.258528682580263</v>
      </c>
      <c r="M111">
        <f t="shared" si="4"/>
        <v>0.55000000000000004</v>
      </c>
    </row>
    <row r="112" spans="1:15">
      <c r="A112" s="25"/>
      <c r="C112">
        <v>60</v>
      </c>
      <c r="D112">
        <f ca="1">'Interpolation T3'!C47</f>
        <v>84.537450854528245</v>
      </c>
      <c r="E112">
        <f t="shared" si="2"/>
        <v>0.6</v>
      </c>
      <c r="G112">
        <v>60</v>
      </c>
      <c r="H112">
        <f ca="1">'Interpolation T3'!C75</f>
        <v>95.018793548967707</v>
      </c>
      <c r="I112">
        <f t="shared" si="3"/>
        <v>0.6</v>
      </c>
      <c r="K112">
        <v>60</v>
      </c>
      <c r="L112">
        <f ca="1">'Interpolation T3'!C103</f>
        <v>98.92267563465694</v>
      </c>
      <c r="M112">
        <f t="shared" si="4"/>
        <v>0.6</v>
      </c>
    </row>
    <row r="113" spans="1:13">
      <c r="A113" s="25"/>
      <c r="C113">
        <v>65</v>
      </c>
      <c r="D113">
        <f ca="1">'Interpolation T3'!C48</f>
        <v>83.480066789764848</v>
      </c>
      <c r="E113">
        <f t="shared" si="2"/>
        <v>0.65</v>
      </c>
      <c r="G113">
        <v>65</v>
      </c>
      <c r="H113">
        <f ca="1">'Interpolation T3'!C76</f>
        <v>93.8808656891959</v>
      </c>
      <c r="I113">
        <f t="shared" si="3"/>
        <v>0.65</v>
      </c>
      <c r="K113">
        <v>65</v>
      </c>
      <c r="L113">
        <f ca="1">'Interpolation T3'!C104</f>
        <v>98.567693225326451</v>
      </c>
      <c r="M113">
        <f t="shared" si="4"/>
        <v>0.65</v>
      </c>
    </row>
    <row r="114" spans="1:13">
      <c r="A114" s="25"/>
      <c r="C114">
        <v>70</v>
      </c>
      <c r="D114">
        <f ca="1">'Interpolation T3'!C49</f>
        <v>82.618936289119375</v>
      </c>
      <c r="E114">
        <f t="shared" si="2"/>
        <v>0.7</v>
      </c>
      <c r="G114">
        <v>70</v>
      </c>
      <c r="H114">
        <f ca="1">'Interpolation T3'!C77</f>
        <v>92.730363185527125</v>
      </c>
      <c r="I114">
        <f t="shared" si="3"/>
        <v>0.7</v>
      </c>
      <c r="K114">
        <v>70</v>
      </c>
      <c r="L114">
        <f ca="1">'Interpolation T3'!C105</f>
        <v>98.2121769476243</v>
      </c>
      <c r="M114">
        <f t="shared" si="4"/>
        <v>0.7</v>
      </c>
    </row>
    <row r="115" spans="1:13">
      <c r="A115" s="25"/>
      <c r="C115">
        <v>75</v>
      </c>
      <c r="D115">
        <f ca="1">'Interpolation T3'!C50</f>
        <v>81.614726853611998</v>
      </c>
      <c r="E115">
        <f t="shared" si="2"/>
        <v>0.75</v>
      </c>
      <c r="G115">
        <v>75</v>
      </c>
      <c r="H115">
        <f ca="1">'Interpolation T3'!C78</f>
        <v>91.138134675197435</v>
      </c>
      <c r="I115">
        <f t="shared" si="3"/>
        <v>0.75</v>
      </c>
      <c r="K115">
        <v>75</v>
      </c>
      <c r="L115">
        <f ca="1">'Interpolation T3'!C106</f>
        <v>97.853962764986377</v>
      </c>
      <c r="M115">
        <f t="shared" si="4"/>
        <v>0.75</v>
      </c>
    </row>
    <row r="116" spans="1:13">
      <c r="A116" s="25"/>
      <c r="C116">
        <v>80</v>
      </c>
      <c r="D116">
        <f ca="1">'Interpolation T3'!C51</f>
        <v>80.620651134641435</v>
      </c>
      <c r="E116">
        <f t="shared" si="2"/>
        <v>0.8</v>
      </c>
      <c r="G116">
        <v>80</v>
      </c>
      <c r="H116">
        <f ca="1">'Interpolation T3'!C79</f>
        <v>89.548420255976467</v>
      </c>
      <c r="I116">
        <f t="shared" si="3"/>
        <v>0.8</v>
      </c>
      <c r="K116">
        <v>80</v>
      </c>
      <c r="L116">
        <f ca="1">'Interpolation T3'!C107</f>
        <v>97.493136133269388</v>
      </c>
      <c r="M116">
        <f t="shared" si="4"/>
        <v>0.8</v>
      </c>
    </row>
    <row r="117" spans="1:13">
      <c r="A117" s="25"/>
      <c r="C117">
        <v>85</v>
      </c>
      <c r="D117">
        <f ca="1">'Interpolation T3'!C52</f>
        <v>79.66238319602256</v>
      </c>
      <c r="E117">
        <f t="shared" si="2"/>
        <v>0.85</v>
      </c>
      <c r="G117">
        <v>85</v>
      </c>
      <c r="H117">
        <f ca="1">'Interpolation T3'!C80</f>
        <v>87.814215972123719</v>
      </c>
      <c r="I117">
        <f t="shared" si="3"/>
        <v>0.85</v>
      </c>
      <c r="K117">
        <v>85</v>
      </c>
      <c r="L117">
        <f ca="1">'Interpolation T3'!C108</f>
        <v>97.116968093621395</v>
      </c>
      <c r="M117">
        <f t="shared" si="4"/>
        <v>0.85</v>
      </c>
    </row>
    <row r="118" spans="1:13">
      <c r="A118" s="25"/>
      <c r="C118">
        <v>90</v>
      </c>
      <c r="D118">
        <f ca="1">'Interpolation T3'!C53</f>
        <v>78.711175020338814</v>
      </c>
      <c r="E118">
        <f t="shared" si="2"/>
        <v>0.9</v>
      </c>
      <c r="G118">
        <v>90</v>
      </c>
      <c r="H118">
        <f ca="1">'Interpolation T3'!C81</f>
        <v>86.078353787152466</v>
      </c>
      <c r="I118">
        <f t="shared" si="3"/>
        <v>0.9</v>
      </c>
      <c r="K118">
        <v>90</v>
      </c>
      <c r="L118">
        <f ca="1">'Interpolation T3'!C109</f>
        <v>96.744043614732561</v>
      </c>
      <c r="M118">
        <f t="shared" si="4"/>
        <v>0.9</v>
      </c>
    </row>
    <row r="119" spans="1:13">
      <c r="A119" s="25"/>
      <c r="C119">
        <v>95</v>
      </c>
      <c r="D119">
        <f ca="1">'Interpolation T3'!C54</f>
        <v>77.773731819038261</v>
      </c>
      <c r="E119">
        <f t="shared" si="2"/>
        <v>0.95</v>
      </c>
      <c r="G119">
        <v>95</v>
      </c>
      <c r="H119">
        <f ca="1">'Interpolation T3'!C82</f>
        <v>84.313770556746306</v>
      </c>
      <c r="I119">
        <f t="shared" si="3"/>
        <v>0.95</v>
      </c>
      <c r="K119">
        <v>95</v>
      </c>
      <c r="L119">
        <f ca="1">'Interpolation T3'!C110</f>
        <v>96.378863780709693</v>
      </c>
      <c r="M119">
        <f t="shared" si="4"/>
        <v>0.95</v>
      </c>
    </row>
    <row r="120" spans="1:13">
      <c r="C120">
        <v>100</v>
      </c>
      <c r="D120">
        <f ca="1">'Interpolation T3'!C55</f>
        <v>76.836288617737694</v>
      </c>
      <c r="E120">
        <f t="shared" si="2"/>
        <v>1</v>
      </c>
      <c r="G120">
        <v>100</v>
      </c>
      <c r="H120">
        <f ca="1">'Interpolation T3'!C83</f>
        <v>82.549187326340189</v>
      </c>
      <c r="I120">
        <f t="shared" si="3"/>
        <v>1</v>
      </c>
      <c r="K120">
        <v>100</v>
      </c>
      <c r="L120">
        <f ca="1">'Interpolation T3'!C111</f>
        <v>96.013683946686811</v>
      </c>
      <c r="M120">
        <f t="shared" si="4"/>
        <v>1</v>
      </c>
    </row>
  </sheetData>
  <mergeCells count="9">
    <mergeCell ref="K83:M83"/>
    <mergeCell ref="A83:A119"/>
    <mergeCell ref="C4:E4"/>
    <mergeCell ref="C42:E42"/>
    <mergeCell ref="G42:I42"/>
    <mergeCell ref="A4:A39"/>
    <mergeCell ref="A43:A79"/>
    <mergeCell ref="C83:E83"/>
    <mergeCell ref="G83:I8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4B9A82-1EDE-DB4D-8996-CE529E110F2E}">
  <dimension ref="B2:P87"/>
  <sheetViews>
    <sheetView topLeftCell="A9" zoomScale="112" zoomScaleNormal="190" workbookViewId="0">
      <selection activeCell="K35" sqref="K35"/>
    </sheetView>
  </sheetViews>
  <sheetFormatPr defaultColWidth="11.42578125" defaultRowHeight="15"/>
  <cols>
    <col min="2" max="2" width="12" bestFit="1" customWidth="1"/>
  </cols>
  <sheetData>
    <row r="2" spans="2:16">
      <c r="B2" s="14" t="s">
        <v>5</v>
      </c>
      <c r="C2" s="27">
        <v>300</v>
      </c>
      <c r="D2" s="28"/>
      <c r="E2" s="28"/>
      <c r="F2" s="29"/>
      <c r="G2" s="27">
        <v>500</v>
      </c>
      <c r="H2" s="28"/>
      <c r="I2" s="28"/>
      <c r="J2" s="29"/>
      <c r="K2" s="27">
        <v>700</v>
      </c>
      <c r="L2" s="28"/>
      <c r="M2" s="28"/>
      <c r="N2" s="29"/>
    </row>
    <row r="3" spans="2:16">
      <c r="B3" s="15" t="s">
        <v>32</v>
      </c>
      <c r="C3" s="7">
        <v>30</v>
      </c>
      <c r="D3">
        <v>50</v>
      </c>
      <c r="E3">
        <v>70</v>
      </c>
      <c r="F3" s="8">
        <v>90</v>
      </c>
      <c r="G3" s="7">
        <v>30</v>
      </c>
      <c r="H3">
        <v>50</v>
      </c>
      <c r="I3">
        <v>70</v>
      </c>
      <c r="J3" s="8">
        <v>90</v>
      </c>
      <c r="K3" s="7">
        <v>30</v>
      </c>
      <c r="L3">
        <v>50</v>
      </c>
      <c r="M3">
        <v>70</v>
      </c>
      <c r="N3" s="8">
        <v>90</v>
      </c>
    </row>
    <row r="4" spans="2:16">
      <c r="B4" s="16" t="s">
        <v>33</v>
      </c>
      <c r="C4" s="20">
        <v>30030</v>
      </c>
      <c r="D4" s="21">
        <v>30050</v>
      </c>
      <c r="E4" s="21">
        <v>30070</v>
      </c>
      <c r="F4" s="22">
        <v>30090</v>
      </c>
      <c r="G4" s="20">
        <v>50030</v>
      </c>
      <c r="H4" s="21">
        <v>50050</v>
      </c>
      <c r="I4" s="21">
        <v>50070</v>
      </c>
      <c r="J4" s="22">
        <v>50090</v>
      </c>
      <c r="K4" s="20">
        <v>70030</v>
      </c>
      <c r="L4" s="21">
        <v>70050</v>
      </c>
      <c r="M4" s="21">
        <v>70070</v>
      </c>
      <c r="N4" s="22">
        <v>70090</v>
      </c>
      <c r="P4" s="1"/>
    </row>
    <row r="5" spans="2:16">
      <c r="B5" s="15" t="s">
        <v>9</v>
      </c>
      <c r="C5" s="7" t="s">
        <v>34</v>
      </c>
      <c r="D5" t="s">
        <v>34</v>
      </c>
      <c r="E5" t="s">
        <v>34</v>
      </c>
      <c r="F5" s="8" t="s">
        <v>34</v>
      </c>
      <c r="G5" s="7" t="s">
        <v>34</v>
      </c>
      <c r="H5" t="s">
        <v>34</v>
      </c>
      <c r="I5" t="s">
        <v>34</v>
      </c>
      <c r="J5" s="8" t="s">
        <v>34</v>
      </c>
      <c r="K5" s="7" t="s">
        <v>34</v>
      </c>
      <c r="L5" t="s">
        <v>34</v>
      </c>
      <c r="M5" t="s">
        <v>34</v>
      </c>
      <c r="N5" s="8" t="s">
        <v>34</v>
      </c>
    </row>
    <row r="6" spans="2:16">
      <c r="B6" s="16" t="s">
        <v>8</v>
      </c>
      <c r="C6" s="17" t="s">
        <v>8</v>
      </c>
      <c r="D6" s="18" t="s">
        <v>8</v>
      </c>
      <c r="E6" s="18" t="s">
        <v>8</v>
      </c>
      <c r="F6" s="19" t="s">
        <v>8</v>
      </c>
      <c r="G6" s="17" t="s">
        <v>8</v>
      </c>
      <c r="H6" s="18" t="s">
        <v>8</v>
      </c>
      <c r="I6" s="18" t="s">
        <v>8</v>
      </c>
      <c r="J6" s="19" t="s">
        <v>8</v>
      </c>
      <c r="K6" s="17" t="s">
        <v>8</v>
      </c>
      <c r="L6" s="18" t="s">
        <v>8</v>
      </c>
      <c r="M6" s="18" t="s">
        <v>8</v>
      </c>
      <c r="N6" s="19" t="s">
        <v>8</v>
      </c>
    </row>
    <row r="7" spans="2:16">
      <c r="B7" s="15">
        <v>0</v>
      </c>
      <c r="C7" s="9">
        <v>99.961038707222144</v>
      </c>
      <c r="D7" s="4">
        <v>99.979753036649171</v>
      </c>
      <c r="E7" s="4">
        <v>99.899384056486809</v>
      </c>
      <c r="F7" s="10">
        <v>99.676159845027072</v>
      </c>
      <c r="G7" s="9">
        <v>94.707745208058924</v>
      </c>
      <c r="H7" s="4">
        <v>99.918469893681532</v>
      </c>
      <c r="I7" s="4">
        <v>99.5170732189668</v>
      </c>
      <c r="J7" s="10">
        <v>98.076195062929798</v>
      </c>
      <c r="K7" s="9">
        <v>66.352670797428516</v>
      </c>
      <c r="L7" s="4">
        <v>99.872047139763723</v>
      </c>
      <c r="M7" s="4">
        <v>98.295961278302201</v>
      </c>
      <c r="N7" s="10">
        <v>98.295961278302201</v>
      </c>
    </row>
    <row r="8" spans="2:16">
      <c r="B8" s="15">
        <v>5</v>
      </c>
      <c r="C8" s="9">
        <v>99.961038707222144</v>
      </c>
      <c r="D8" s="4">
        <v>99.947070690274231</v>
      </c>
      <c r="E8" s="4">
        <v>99.856167660337221</v>
      </c>
      <c r="F8" s="10">
        <v>99.624455151304488</v>
      </c>
      <c r="G8" s="9">
        <v>94.707745208058924</v>
      </c>
      <c r="H8" s="4">
        <v>99.918469893681532</v>
      </c>
      <c r="I8" s="4">
        <v>99.263911749377243</v>
      </c>
      <c r="J8" s="10">
        <v>98.0466449996336</v>
      </c>
      <c r="K8" s="9">
        <v>64.445505441030193</v>
      </c>
      <c r="L8" s="4">
        <v>99.872047139763723</v>
      </c>
      <c r="M8" s="4">
        <v>97.737450977768646</v>
      </c>
      <c r="N8" s="10">
        <v>97.737450977768646</v>
      </c>
    </row>
    <row r="9" spans="2:16">
      <c r="B9" s="15">
        <v>10</v>
      </c>
      <c r="C9" s="9">
        <v>99.961038707222144</v>
      </c>
      <c r="D9" s="4">
        <v>99.91438834389929</v>
      </c>
      <c r="E9" s="4">
        <v>99.812951264187632</v>
      </c>
      <c r="F9" s="10">
        <v>99.572750457581904</v>
      </c>
      <c r="G9" s="9">
        <v>94.707745208058924</v>
      </c>
      <c r="H9" s="4">
        <v>99.596639977267174</v>
      </c>
      <c r="I9" s="4">
        <v>99.010750279787686</v>
      </c>
      <c r="J9" s="10">
        <v>98.017094936337401</v>
      </c>
      <c r="K9" s="9">
        <v>62.538340084631869</v>
      </c>
      <c r="L9" s="4">
        <v>97.259133569443321</v>
      </c>
      <c r="M9" s="4">
        <v>97.17894067723509</v>
      </c>
      <c r="N9" s="10">
        <v>97.17894067723509</v>
      </c>
    </row>
    <row r="10" spans="2:16">
      <c r="B10" s="15">
        <v>15</v>
      </c>
      <c r="C10" s="9">
        <v>99.961038707222144</v>
      </c>
      <c r="D10" s="4">
        <v>99.881705997524321</v>
      </c>
      <c r="E10" s="4">
        <v>99.769734868038384</v>
      </c>
      <c r="F10" s="10">
        <v>99.521045763859519</v>
      </c>
      <c r="G10" s="9">
        <v>94.707745208058924</v>
      </c>
      <c r="H10" s="4">
        <v>99.274810060852872</v>
      </c>
      <c r="I10" s="4">
        <v>98.757588810198101</v>
      </c>
      <c r="J10" s="10">
        <v>97.987544873041188</v>
      </c>
      <c r="K10" s="9">
        <v>60.631174728233546</v>
      </c>
      <c r="L10" s="4">
        <v>94.64621999912292</v>
      </c>
      <c r="M10" s="4">
        <v>96.620430376701506</v>
      </c>
      <c r="N10" s="10">
        <v>96.620430376701506</v>
      </c>
    </row>
    <row r="11" spans="2:16">
      <c r="B11" s="15">
        <v>20</v>
      </c>
      <c r="C11" s="9">
        <v>99.961038707222144</v>
      </c>
      <c r="D11" s="4">
        <v>99.849023651149352</v>
      </c>
      <c r="E11" s="4">
        <v>99.726518471889136</v>
      </c>
      <c r="F11" s="10">
        <v>99.469341070137133</v>
      </c>
      <c r="G11" s="9">
        <v>91.765485303369644</v>
      </c>
      <c r="H11" s="4">
        <v>98.952980144438584</v>
      </c>
      <c r="I11" s="4">
        <v>98.504427340608501</v>
      </c>
      <c r="J11" s="10">
        <v>97.957994809744989</v>
      </c>
      <c r="K11" s="9">
        <v>58.551350266455607</v>
      </c>
      <c r="L11" s="4">
        <v>92.033306428802504</v>
      </c>
      <c r="M11" s="4">
        <v>96.061920076167908</v>
      </c>
      <c r="N11" s="10">
        <v>96.061920076167908</v>
      </c>
    </row>
    <row r="12" spans="2:16">
      <c r="B12" s="15">
        <v>25</v>
      </c>
      <c r="C12" s="9">
        <v>99.961038707222144</v>
      </c>
      <c r="D12" s="4">
        <v>99.816341304774383</v>
      </c>
      <c r="E12" s="4">
        <v>99.683302075739903</v>
      </c>
      <c r="F12" s="10">
        <v>99.417636376414748</v>
      </c>
      <c r="G12" s="9">
        <v>87.585627232275556</v>
      </c>
      <c r="H12" s="4">
        <v>98.631150228024282</v>
      </c>
      <c r="I12" s="4">
        <v>98.251265871018902</v>
      </c>
      <c r="J12" s="10">
        <v>97.928444746448776</v>
      </c>
      <c r="K12" s="9">
        <v>56.213649957529924</v>
      </c>
      <c r="L12" s="4">
        <v>89.444935965718315</v>
      </c>
      <c r="M12" s="4">
        <v>95.50340977563431</v>
      </c>
      <c r="N12" s="10">
        <v>95.50340977563431</v>
      </c>
    </row>
    <row r="13" spans="2:16">
      <c r="B13" s="15">
        <v>30</v>
      </c>
      <c r="C13" s="9">
        <v>99.961038707222144</v>
      </c>
      <c r="D13" s="4">
        <v>99.783658958399414</v>
      </c>
      <c r="E13" s="4">
        <v>99.640085679590669</v>
      </c>
      <c r="F13" s="10">
        <v>99.365931682692377</v>
      </c>
      <c r="G13" s="9">
        <v>83.405769161181453</v>
      </c>
      <c r="H13" s="4">
        <v>98.309320311609994</v>
      </c>
      <c r="I13" s="4">
        <v>97.998174474519246</v>
      </c>
      <c r="J13" s="10">
        <v>97.898894683152577</v>
      </c>
      <c r="K13" s="9">
        <v>53.875949648604248</v>
      </c>
      <c r="L13" s="4">
        <v>86.860070870656898</v>
      </c>
      <c r="M13" s="4">
        <v>94.944899475100712</v>
      </c>
      <c r="N13" s="10">
        <v>94.944899475100712</v>
      </c>
    </row>
    <row r="14" spans="2:16">
      <c r="B14" s="15">
        <v>35</v>
      </c>
      <c r="C14" s="9">
        <v>99.961038707222144</v>
      </c>
      <c r="D14" s="4">
        <v>99.769544293015898</v>
      </c>
      <c r="E14" s="4">
        <v>99.619838853336461</v>
      </c>
      <c r="F14" s="10">
        <v>99.357294819862531</v>
      </c>
      <c r="G14" s="9">
        <v>81.609673525549411</v>
      </c>
      <c r="H14" s="4">
        <v>98.144980062165786</v>
      </c>
      <c r="I14" s="4">
        <v>97.938315096525571</v>
      </c>
      <c r="J14" s="10">
        <v>97.865607836042699</v>
      </c>
      <c r="K14" s="9">
        <v>51.538249339678572</v>
      </c>
      <c r="L14" s="4">
        <v>84.565041072563574</v>
      </c>
      <c r="M14" s="4">
        <v>94.187382562077062</v>
      </c>
      <c r="N14" s="10">
        <v>94.187382562077062</v>
      </c>
    </row>
    <row r="15" spans="2:16">
      <c r="B15" s="15">
        <v>40</v>
      </c>
      <c r="C15" s="9">
        <v>99.850498821287928</v>
      </c>
      <c r="D15" s="4">
        <v>99.763038292677294</v>
      </c>
      <c r="E15" s="4">
        <v>99.599831695653279</v>
      </c>
      <c r="F15" s="10">
        <v>99.354690577887197</v>
      </c>
      <c r="G15" s="9">
        <v>79.973569359920887</v>
      </c>
      <c r="H15" s="4">
        <v>98.006363392161944</v>
      </c>
      <c r="I15" s="4">
        <v>97.878472282548884</v>
      </c>
      <c r="J15" s="10">
        <v>97.83185798122966</v>
      </c>
      <c r="K15" s="9">
        <v>50.936870109906991</v>
      </c>
      <c r="L15" s="4">
        <v>82.287920355286062</v>
      </c>
      <c r="M15" s="4">
        <v>93.198929224259089</v>
      </c>
      <c r="N15" s="10">
        <v>93.198929224259089</v>
      </c>
    </row>
    <row r="16" spans="2:16">
      <c r="B16" s="15">
        <v>45</v>
      </c>
      <c r="C16" s="9">
        <v>99.739958935353712</v>
      </c>
      <c r="D16" s="4">
        <v>99.75653229233869</v>
      </c>
      <c r="E16" s="4">
        <v>99.579824537970097</v>
      </c>
      <c r="F16" s="10">
        <v>99.352086335911864</v>
      </c>
      <c r="G16" s="9">
        <v>78.337465194292349</v>
      </c>
      <c r="H16" s="4">
        <v>97.492173449111505</v>
      </c>
      <c r="I16" s="4">
        <v>97.818629468572198</v>
      </c>
      <c r="J16" s="10">
        <v>97.798108126416622</v>
      </c>
      <c r="K16" s="9">
        <v>50.501930983249025</v>
      </c>
      <c r="L16" s="4">
        <v>79.716375113812745</v>
      </c>
      <c r="M16" s="4">
        <v>92.210475886441117</v>
      </c>
      <c r="N16" s="10">
        <v>92.210475886441117</v>
      </c>
    </row>
    <row r="17" spans="2:14">
      <c r="B17" s="15">
        <v>50</v>
      </c>
      <c r="C17" s="9">
        <v>99.594381730503585</v>
      </c>
      <c r="D17" s="4">
        <v>99.750026292000086</v>
      </c>
      <c r="E17" s="4">
        <v>99.559817380286901</v>
      </c>
      <c r="F17" s="10">
        <v>99.34948209393653</v>
      </c>
      <c r="G17" s="9">
        <v>76.701361028663825</v>
      </c>
      <c r="H17" s="4">
        <v>97.086099927962948</v>
      </c>
      <c r="I17" s="4">
        <v>97.758786654595525</v>
      </c>
      <c r="J17" s="10">
        <v>97.764358271603598</v>
      </c>
      <c r="K17" s="9">
        <v>50.066991856591066</v>
      </c>
      <c r="L17" s="4">
        <v>77.122393639543347</v>
      </c>
      <c r="M17" s="4">
        <v>91.222022548623144</v>
      </c>
      <c r="N17" s="10">
        <v>91.222022548623144</v>
      </c>
    </row>
    <row r="18" spans="2:14">
      <c r="B18" s="15">
        <v>55</v>
      </c>
      <c r="C18" s="9">
        <v>99.258528682580263</v>
      </c>
      <c r="D18" s="4">
        <v>99.789819666934605</v>
      </c>
      <c r="E18" s="4">
        <v>99.611646012157394</v>
      </c>
      <c r="F18" s="10">
        <v>99.435102357033259</v>
      </c>
      <c r="G18" s="9">
        <v>75.453596578272865</v>
      </c>
      <c r="H18" s="4">
        <v>97.227519825837163</v>
      </c>
      <c r="I18" s="4">
        <v>97.639966100218885</v>
      </c>
      <c r="J18" s="10">
        <v>97.663705392205955</v>
      </c>
      <c r="K18" s="9">
        <v>49.235796241336885</v>
      </c>
      <c r="L18" s="4">
        <v>75.015396552195028</v>
      </c>
      <c r="M18" s="4">
        <v>89.846903841754056</v>
      </c>
      <c r="N18" s="10">
        <v>89.846903841754056</v>
      </c>
    </row>
    <row r="19" spans="2:14">
      <c r="B19" s="15">
        <v>60</v>
      </c>
      <c r="C19" s="9">
        <v>98.92267563465694</v>
      </c>
      <c r="D19" s="4">
        <v>99.839557427290828</v>
      </c>
      <c r="E19" s="4">
        <v>99.664434669158396</v>
      </c>
      <c r="F19" s="10">
        <v>99.52474449902509</v>
      </c>
      <c r="G19" s="9">
        <v>74.217055925581789</v>
      </c>
      <c r="H19" s="4">
        <v>95.430781217608114</v>
      </c>
      <c r="I19" s="4">
        <v>97.522676144571321</v>
      </c>
      <c r="J19" s="10">
        <v>97.557735625909487</v>
      </c>
      <c r="K19" s="9">
        <v>48.031980675794074</v>
      </c>
      <c r="L19" s="4">
        <v>73.042120516295512</v>
      </c>
      <c r="M19" s="4">
        <v>88.073262641719978</v>
      </c>
      <c r="N19" s="10">
        <v>88.073262641719978</v>
      </c>
    </row>
    <row r="20" spans="2:14">
      <c r="B20" s="15">
        <v>65</v>
      </c>
      <c r="C20" s="9">
        <v>98.567693225326451</v>
      </c>
      <c r="D20" s="4">
        <v>99.871622328734006</v>
      </c>
      <c r="E20" s="4">
        <v>99.671447109955864</v>
      </c>
      <c r="F20" s="10">
        <v>99.490050599816058</v>
      </c>
      <c r="G20" s="9">
        <v>73.001850880891794</v>
      </c>
      <c r="H20" s="4">
        <v>94.141347469602636</v>
      </c>
      <c r="I20" s="4">
        <v>97.426552312008837</v>
      </c>
      <c r="J20" s="10">
        <v>97.580333510757825</v>
      </c>
      <c r="K20" s="9">
        <v>47.240850808234768</v>
      </c>
      <c r="L20" s="4">
        <v>71.45169305292886</v>
      </c>
      <c r="M20" s="4">
        <v>87.305851792573591</v>
      </c>
      <c r="N20" s="10">
        <v>87.305851792573591</v>
      </c>
    </row>
    <row r="21" spans="2:14">
      <c r="B21" s="15">
        <v>70</v>
      </c>
      <c r="C21" s="9">
        <v>98.2121769476243</v>
      </c>
      <c r="D21" s="4">
        <v>99.901761581352858</v>
      </c>
      <c r="E21" s="4">
        <v>99.678459550753331</v>
      </c>
      <c r="F21" s="10">
        <v>99.44640002899969</v>
      </c>
      <c r="G21" s="9">
        <v>71.789094521223973</v>
      </c>
      <c r="H21" s="4">
        <v>92.837129023321808</v>
      </c>
      <c r="I21" s="4">
        <v>97.330428479446354</v>
      </c>
      <c r="J21" s="10">
        <v>97.611409463257203</v>
      </c>
      <c r="K21" s="9">
        <v>47.255360043915893</v>
      </c>
      <c r="L21" s="4">
        <v>70.058184441625727</v>
      </c>
      <c r="M21" s="4">
        <v>86.869793161769877</v>
      </c>
      <c r="N21" s="10">
        <v>86.869793161769877</v>
      </c>
    </row>
    <row r="22" spans="2:14">
      <c r="B22" s="15">
        <v>75</v>
      </c>
      <c r="C22" s="9">
        <v>97.853962764986377</v>
      </c>
      <c r="D22" s="4">
        <v>99.878768439151415</v>
      </c>
      <c r="E22" s="4">
        <v>99.704992063204983</v>
      </c>
      <c r="F22" s="10">
        <v>99.501409947352371</v>
      </c>
      <c r="G22" s="9">
        <v>70.642320141862399</v>
      </c>
      <c r="H22" s="4">
        <v>91.012597676020931</v>
      </c>
      <c r="I22" s="4">
        <v>97.059441070462455</v>
      </c>
      <c r="J22" s="10">
        <v>97.593789415837449</v>
      </c>
      <c r="K22" s="9">
        <v>46.639072505591258</v>
      </c>
      <c r="L22" s="4">
        <v>68.827685631065549</v>
      </c>
      <c r="M22" s="4">
        <v>86.120906396405331</v>
      </c>
      <c r="N22" s="10">
        <v>86.120906396405331</v>
      </c>
    </row>
    <row r="23" spans="2:14">
      <c r="B23" s="15">
        <v>80</v>
      </c>
      <c r="C23" s="9">
        <v>97.493136133269388</v>
      </c>
      <c r="D23" s="4">
        <v>99.847550169535822</v>
      </c>
      <c r="E23" s="4">
        <v>99.742394628714806</v>
      </c>
      <c r="F23" s="10">
        <v>99.556419865705053</v>
      </c>
      <c r="G23" s="9">
        <v>69.575361085914636</v>
      </c>
      <c r="H23" s="4">
        <v>89.188066328720055</v>
      </c>
      <c r="I23" s="4">
        <v>96.782291321859944</v>
      </c>
      <c r="J23" s="10">
        <v>97.569076246100252</v>
      </c>
      <c r="K23" s="9">
        <v>45.74749083173316</v>
      </c>
      <c r="L23" s="4">
        <v>67.716909575163967</v>
      </c>
      <c r="M23" s="4">
        <v>85.28137423368652</v>
      </c>
      <c r="N23" s="10">
        <v>85.28137423368652</v>
      </c>
    </row>
    <row r="24" spans="2:14">
      <c r="B24" s="15">
        <v>85</v>
      </c>
      <c r="C24" s="9">
        <v>97.116968093621395</v>
      </c>
      <c r="D24" s="4">
        <v>99.676680324521584</v>
      </c>
      <c r="E24" s="4">
        <v>99.739983694897006</v>
      </c>
      <c r="F24" s="10">
        <v>99.573869696116816</v>
      </c>
      <c r="G24" s="9">
        <v>68.660468274374878</v>
      </c>
      <c r="H24" s="4">
        <v>87.202513759743624</v>
      </c>
      <c r="I24" s="4">
        <v>96.581273335887431</v>
      </c>
      <c r="J24" s="10">
        <v>97.502285247463035</v>
      </c>
      <c r="K24" s="9">
        <v>44.761220922572996</v>
      </c>
      <c r="L24" s="4">
        <v>66.798403350014809</v>
      </c>
      <c r="M24" s="4">
        <v>84.373356140834986</v>
      </c>
      <c r="N24" s="10">
        <v>84.373356140834986</v>
      </c>
    </row>
    <row r="25" spans="2:14">
      <c r="B25" s="15">
        <v>90</v>
      </c>
      <c r="C25" s="9">
        <v>96.744043614732561</v>
      </c>
      <c r="D25" s="4">
        <v>99.504950432967192</v>
      </c>
      <c r="E25" s="4">
        <v>99.72693576972739</v>
      </c>
      <c r="F25" s="10">
        <v>99.587210119710164</v>
      </c>
      <c r="G25" s="9">
        <v>67.772815327444903</v>
      </c>
      <c r="H25" s="4">
        <v>85.213700618144657</v>
      </c>
      <c r="I25" s="4">
        <v>96.411781461697643</v>
      </c>
      <c r="J25" s="10">
        <v>97.434528366707383</v>
      </c>
      <c r="K25" s="9">
        <v>43.774951013412831</v>
      </c>
      <c r="L25" s="4">
        <v>65.911378413978213</v>
      </c>
      <c r="M25" s="4">
        <v>83.443260946977887</v>
      </c>
      <c r="N25" s="10">
        <v>83.443260946977887</v>
      </c>
    </row>
    <row r="26" spans="2:14">
      <c r="B26" s="15">
        <v>95</v>
      </c>
      <c r="C26" s="9">
        <v>96.378863780709693</v>
      </c>
      <c r="D26" s="4">
        <v>99.067745616251827</v>
      </c>
      <c r="E26" s="4">
        <v>99.443815076536211</v>
      </c>
      <c r="F26" s="10">
        <v>99.448886663338882</v>
      </c>
      <c r="G26" s="9">
        <v>66.885162380514927</v>
      </c>
      <c r="H26" s="4">
        <v>83.224887476545661</v>
      </c>
      <c r="I26" s="4">
        <v>96.35240938257283</v>
      </c>
      <c r="J26" s="10">
        <v>97.257526214583223</v>
      </c>
      <c r="K26" s="9">
        <v>42.788681104252667</v>
      </c>
      <c r="L26" s="4">
        <v>65.024353477941716</v>
      </c>
      <c r="M26" s="4">
        <v>82.51316575312083</v>
      </c>
      <c r="N26" s="10">
        <v>82.51316575312083</v>
      </c>
    </row>
    <row r="27" spans="2:14">
      <c r="B27" s="16">
        <v>100</v>
      </c>
      <c r="C27" s="11">
        <v>96.013683946686811</v>
      </c>
      <c r="D27" s="12">
        <v>98.630540799536618</v>
      </c>
      <c r="E27" s="12">
        <v>99.115106544792184</v>
      </c>
      <c r="F27" s="13">
        <v>99.251178325633788</v>
      </c>
      <c r="G27" s="11">
        <v>65.997509433584966</v>
      </c>
      <c r="H27" s="12">
        <v>81.236074334946665</v>
      </c>
      <c r="I27" s="12">
        <v>96.293037303447989</v>
      </c>
      <c r="J27" s="13">
        <v>97.069523081100584</v>
      </c>
      <c r="K27" s="11">
        <v>41.802411195092503</v>
      </c>
      <c r="L27" s="12">
        <v>64.137328541905219</v>
      </c>
      <c r="M27" s="12">
        <v>81.583070559263774</v>
      </c>
      <c r="N27" s="13">
        <v>81.583070559263774</v>
      </c>
    </row>
    <row r="30" spans="2:14">
      <c r="B30" t="s">
        <v>5</v>
      </c>
      <c r="C30" s="4">
        <f>'Tapping design'!E5</f>
        <v>650</v>
      </c>
      <c r="E30">
        <f>IF(AND(0&lt;=C30,C30&lt;=$C$2),$C$2,IF(AND(0&lt;C30,C30&lt;=$G$2),$C$2,IF(AND($G$2&lt;C30,C30&lt;=$K$2),$G$2,IF($K$2&lt;C30,$K$2,"false"))))</f>
        <v>500</v>
      </c>
      <c r="F30">
        <f>IF(AND(0&lt;=C30,C30&lt;=$C$2),$C$2,IF(AND(0&lt;C30,C30&lt;=$G$2),$C$2,IF(AND($G$2&lt;C30,C30&lt;=$K$2),$G$2,IF($K$2&lt;C30,$K$2,"false"))))</f>
        <v>500</v>
      </c>
      <c r="G30">
        <f>IF(AND(0&lt;=C30,C30&lt;=$C$2),$C$2,IF(AND($C$2&lt;C30,C30&lt;=$G$2),$G$2,IF(AND($G$2&lt;C30,C30&lt;=$K$2),$K$2,IF($K$2&lt;C30,$K$2,"false"))))</f>
        <v>700</v>
      </c>
      <c r="H30">
        <f>IF(AND(0&lt;=C30,C30&lt;=$C$2),$C$2,IF(AND($C$2&lt;C30,C30&lt;=$G$2),$G$2,IF(AND($G$2&lt;C30,C30&lt;=$K$2),$K$2,IF($K$2&lt;C30,$K$2,"false"))))</f>
        <v>700</v>
      </c>
      <c r="J30">
        <f>F30</f>
        <v>500</v>
      </c>
      <c r="K30">
        <f>H30</f>
        <v>700</v>
      </c>
    </row>
    <row r="31" spans="2:14">
      <c r="B31" t="s">
        <v>32</v>
      </c>
      <c r="C31" s="4">
        <f>'Tapping design'!E6</f>
        <v>60</v>
      </c>
      <c r="E31">
        <f>IF(AND(0&lt;=C31,C31&lt;=$C$3),$C$3,IF(AND($C$3&lt;C31,C31&lt;=$D$3),$C$3,IF(AND($D$3&lt;C31,C31&lt;=$E$3),$D$3,IF(AND($E$3&lt;C31,C31&lt;=$F$3),$E$3,IF($F$3&lt;C31,$F$3,"false")))))</f>
        <v>50</v>
      </c>
      <c r="F31">
        <f>IF(AND(0&lt;=C31,C31&lt;=$C$3),$C$3,IF(AND($C$3&lt;C31,C31&lt;=$D$3),$D$3,IF(AND($D$3&lt;C31,C31&lt;=$E$3),$E$3,IF(AND($E$3&lt;C31,C31&lt;=$F$3),$F$3,IF($F$3&lt;C31,$F$3,"false")))))</f>
        <v>70</v>
      </c>
      <c r="G31">
        <f>IF(AND(0&lt;=C31,C31&lt;=$C$3),$C$3,IF(AND($C$3&lt;C31,C31&lt;=$D$3),$C$3,IF(AND($D$3&lt;C31,C31&lt;=$E$3),$D$3,IF(AND($E$3&lt;C31,C31&lt;=$F$3),$E$3,IF($F$3&lt;C31,$F$3,"false")))))</f>
        <v>50</v>
      </c>
      <c r="H31">
        <f>IF(AND(0&lt;=C31,C31&lt;=$C$3),$C$3,IF(AND($C$3&lt;C31,C31&lt;=$D$3),$D$3,IF(AND($D$3&lt;C31,C31&lt;=$E$3),$E$3,IF(AND($E$3&lt;C31,C31&lt;=$F$3),$F$3,IF($F$3&lt;C31,$F$3,"false")))))</f>
        <v>70</v>
      </c>
      <c r="J31" s="4">
        <f>C31</f>
        <v>60</v>
      </c>
      <c r="K31" s="4">
        <f>C31</f>
        <v>60</v>
      </c>
    </row>
    <row r="32" spans="2:14">
      <c r="B32" t="s">
        <v>33</v>
      </c>
      <c r="E32">
        <f>(E30*100)+E31</f>
        <v>50050</v>
      </c>
      <c r="F32">
        <f t="shared" ref="F32:H32" si="0">(F30*100)+F31</f>
        <v>50070</v>
      </c>
      <c r="G32">
        <f t="shared" si="0"/>
        <v>70050</v>
      </c>
      <c r="H32">
        <f t="shared" si="0"/>
        <v>70070</v>
      </c>
    </row>
    <row r="33" spans="2:11">
      <c r="B33" t="s">
        <v>9</v>
      </c>
      <c r="C33" t="s">
        <v>34</v>
      </c>
      <c r="E33" t="s">
        <v>34</v>
      </c>
      <c r="F33" t="s">
        <v>34</v>
      </c>
      <c r="G33" t="s">
        <v>34</v>
      </c>
      <c r="H33" t="s">
        <v>34</v>
      </c>
      <c r="J33" t="s">
        <v>34</v>
      </c>
      <c r="K33" t="s">
        <v>34</v>
      </c>
    </row>
    <row r="34" spans="2:11">
      <c r="B34" t="s">
        <v>8</v>
      </c>
      <c r="C34" t="s">
        <v>8</v>
      </c>
      <c r="E34" t="s">
        <v>8</v>
      </c>
      <c r="F34" t="s">
        <v>8</v>
      </c>
      <c r="G34" t="s">
        <v>8</v>
      </c>
      <c r="H34" t="s">
        <v>8</v>
      </c>
      <c r="J34" t="s">
        <v>8</v>
      </c>
      <c r="K34" t="s">
        <v>8</v>
      </c>
    </row>
    <row r="35" spans="2:11">
      <c r="B35">
        <v>0</v>
      </c>
      <c r="C35">
        <f ca="1">IF($C$30=$K$30,K35,IF($C$30=$J$30,J35,FORECAST($C$30,OFFSET(J35:K35,0,MATCH($C$30,$J$30:$K$30,1)-1,1,2),OFFSET($J$30:$K$30,0,MATCH($C$30,$J$30:$K$30,1)-1,1,2))))</f>
        <v>99.242446045855772</v>
      </c>
      <c r="E35" cm="1">
        <f t="array" ref="E35:E55">(INDEX(C7:N27,0,MATCH(E32,C4:N4,0)))</f>
        <v>99.918469893681532</v>
      </c>
      <c r="F35" cm="1">
        <f t="array" ref="F35:F55">(INDEX(C7:N27,0,MATCH(F32,C4:N4,0)))</f>
        <v>99.5170732189668</v>
      </c>
      <c r="G35" cm="1">
        <f t="array" ref="G35:G55">(INDEX(C7:N27,0,MATCH(G32,C4:N4,0)))</f>
        <v>99.872047139763723</v>
      </c>
      <c r="H35" cm="1">
        <f t="array" ref="H35:H55">(INDEX(C7:N27,0,MATCH(H32,C4:N4,0)))</f>
        <v>98.295961278302201</v>
      </c>
      <c r="J35">
        <f ca="1">IF($J$31=$F$31,F35,IF($J$31=$E$31,E35,FORECAST($J$31,OFFSET(E35:F35,0,MATCH($J$31,$E$31:$F$31,1)-1,1,2),OFFSET($E$31:$F$31,0,MATCH($J$31,$E$31:$F$31,1)-1,1,2))))</f>
        <v>99.717771556324166</v>
      </c>
      <c r="K35">
        <f ca="1">IF($K$31=$H$31,H35,IF($K$31=$G$31,G35,FORECAST($K$31,OFFSET(G35:H35,0,MATCH($K$31,$G$31:$H$31,1)-1,1,2),OFFSET($G$31:$H$31,0,MATCH($K$31,$G$31:$H$31,1)-1,1,2))))</f>
        <v>99.084004209032969</v>
      </c>
    </row>
    <row r="36" spans="2:11">
      <c r="B36">
        <v>5</v>
      </c>
      <c r="C36">
        <f t="shared" ref="C36:C55" ca="1" si="1">IF($C$30=$K$30,K36,IF($C$30=$J$30,J36,FORECAST($C$30,OFFSET(J36:K36,0,MATCH($C$30,$J$30:$K$30,1)-1,1,2),OFFSET($J$30:$K$30,0,MATCH($C$30,$J$30:$K$30,1)-1,1,2))))</f>
        <v>99.001359499456981</v>
      </c>
      <c r="E36">
        <v>99.918469893681532</v>
      </c>
      <c r="F36">
        <v>99.263911749377243</v>
      </c>
      <c r="G36">
        <v>99.872047139763723</v>
      </c>
      <c r="H36">
        <v>97.737450977768646</v>
      </c>
      <c r="J36">
        <f t="shared" ref="J36:J55" ca="1" si="2">IF($J$31=$F$31,F36,IF($J$31=$E$31,E36,FORECAST($J$31,OFFSET(E36:F36,0,MATCH($J$31,$E$31:$F$31,1)-1,1,2),OFFSET($E$31:$F$31,0,MATCH($J$31,$E$31:$F$31,1)-1,1,2))))</f>
        <v>99.591190821529381</v>
      </c>
      <c r="K36">
        <f t="shared" ref="K36:K55" ca="1" si="3">IF($K$31=$H$31,H36,IF($K$31=$G$31,G36,FORECAST($K$31,OFFSET(G36:H36,0,MATCH($K$31,$G$31:$H$31,1)-1,1,2),OFFSET($G$31:$H$31,0,MATCH($K$31,$G$31:$H$31,1)-1,1,2))))</f>
        <v>98.804749058766191</v>
      </c>
    </row>
    <row r="37" spans="2:11">
      <c r="B37">
        <v>10</v>
      </c>
      <c r="C37">
        <f t="shared" ca="1" si="1"/>
        <v>97.740201624636256</v>
      </c>
      <c r="E37">
        <v>99.596639977267174</v>
      </c>
      <c r="F37">
        <v>99.010750279787686</v>
      </c>
      <c r="G37">
        <v>97.259133569443321</v>
      </c>
      <c r="H37">
        <v>97.17894067723509</v>
      </c>
      <c r="J37">
        <f t="shared" ca="1" si="2"/>
        <v>99.303695128527437</v>
      </c>
      <c r="K37">
        <f t="shared" ca="1" si="3"/>
        <v>97.219037123339206</v>
      </c>
    </row>
    <row r="38" spans="2:11">
      <c r="B38">
        <v>15</v>
      </c>
      <c r="C38">
        <f t="shared" ca="1" si="1"/>
        <v>96.479043749815531</v>
      </c>
      <c r="E38">
        <v>99.274810060852872</v>
      </c>
      <c r="F38">
        <v>98.757588810198101</v>
      </c>
      <c r="G38">
        <v>94.64621999912292</v>
      </c>
      <c r="H38">
        <v>96.620430376701506</v>
      </c>
      <c r="J38">
        <f t="shared" ca="1" si="2"/>
        <v>99.016199435525493</v>
      </c>
      <c r="K38">
        <f t="shared" ca="1" si="3"/>
        <v>95.63332518791222</v>
      </c>
    </row>
    <row r="39" spans="2:11">
      <c r="B39">
        <v>20</v>
      </c>
      <c r="C39">
        <f t="shared" ca="1" si="1"/>
        <v>95.217885874994792</v>
      </c>
      <c r="E39">
        <v>98.952980144438584</v>
      </c>
      <c r="F39">
        <v>98.504427340608501</v>
      </c>
      <c r="G39">
        <v>92.033306428802504</v>
      </c>
      <c r="H39">
        <v>96.061920076167908</v>
      </c>
      <c r="J39">
        <f t="shared" ca="1" si="2"/>
        <v>98.72870374252355</v>
      </c>
      <c r="K39">
        <f t="shared" ca="1" si="3"/>
        <v>94.047613252485206</v>
      </c>
    </row>
    <row r="40" spans="2:11">
      <c r="B40">
        <v>25</v>
      </c>
      <c r="C40">
        <f t="shared" ca="1" si="1"/>
        <v>93.965931665387629</v>
      </c>
      <c r="E40">
        <v>98.631150228024282</v>
      </c>
      <c r="F40">
        <v>98.251265871018902</v>
      </c>
      <c r="G40">
        <v>89.444935965718315</v>
      </c>
      <c r="H40">
        <v>95.50340977563431</v>
      </c>
      <c r="J40">
        <f t="shared" ca="1" si="2"/>
        <v>98.441208049521592</v>
      </c>
      <c r="K40">
        <f t="shared" ca="1" si="3"/>
        <v>92.474172870676313</v>
      </c>
    </row>
    <row r="41" spans="2:11">
      <c r="B41">
        <v>30</v>
      </c>
      <c r="C41">
        <f t="shared" ca="1" si="1"/>
        <v>92.715300727925268</v>
      </c>
      <c r="E41">
        <v>98.309320311609994</v>
      </c>
      <c r="F41">
        <v>97.998174474519246</v>
      </c>
      <c r="G41">
        <v>86.860070870656898</v>
      </c>
      <c r="H41">
        <v>94.944899475100712</v>
      </c>
      <c r="J41">
        <f t="shared" ca="1" si="2"/>
        <v>98.15374739306462</v>
      </c>
      <c r="K41">
        <f t="shared" ca="1" si="3"/>
        <v>90.902485172878812</v>
      </c>
    </row>
    <row r="42" spans="2:11">
      <c r="B42">
        <v>35</v>
      </c>
      <c r="C42">
        <f t="shared" ca="1" si="1"/>
        <v>91.542570757826667</v>
      </c>
      <c r="E42">
        <v>98.144980062165786</v>
      </c>
      <c r="F42">
        <v>97.938315096525571</v>
      </c>
      <c r="G42">
        <v>84.565041072563574</v>
      </c>
      <c r="H42">
        <v>94.187382562077062</v>
      </c>
      <c r="J42">
        <f t="shared" ca="1" si="2"/>
        <v>98.041647579345678</v>
      </c>
      <c r="K42">
        <f t="shared" ca="1" si="3"/>
        <v>89.376211817320325</v>
      </c>
    </row>
    <row r="43" spans="2:11">
      <c r="B43">
        <v>40</v>
      </c>
      <c r="C43">
        <f t="shared" ca="1" si="1"/>
        <v>90.293173051668276</v>
      </c>
      <c r="E43">
        <v>98.006363392161944</v>
      </c>
      <c r="F43">
        <v>97.878472282548884</v>
      </c>
      <c r="G43">
        <v>82.287920355286062</v>
      </c>
      <c r="H43">
        <v>93.198929224259089</v>
      </c>
      <c r="J43">
        <f t="shared" ca="1" si="2"/>
        <v>97.942417837355407</v>
      </c>
      <c r="K43">
        <f t="shared" ca="1" si="3"/>
        <v>87.743424789772575</v>
      </c>
    </row>
    <row r="44" spans="2:11">
      <c r="B44">
        <v>45</v>
      </c>
      <c r="C44">
        <f t="shared" ca="1" si="1"/>
        <v>88.886419489805661</v>
      </c>
      <c r="E44">
        <v>97.492173449111505</v>
      </c>
      <c r="F44">
        <v>97.818629468572198</v>
      </c>
      <c r="G44">
        <v>79.716375113812745</v>
      </c>
      <c r="H44">
        <v>92.210475886441117</v>
      </c>
      <c r="J44">
        <f t="shared" ca="1" si="2"/>
        <v>97.655401458841851</v>
      </c>
      <c r="K44">
        <f t="shared" ca="1" si="3"/>
        <v>85.963425500126931</v>
      </c>
    </row>
    <row r="45" spans="2:11">
      <c r="B45">
        <v>50</v>
      </c>
      <c r="C45">
        <f t="shared" ca="1" si="1"/>
        <v>87.484766893382229</v>
      </c>
      <c r="E45">
        <v>97.086099927962948</v>
      </c>
      <c r="F45">
        <v>97.758786654595525</v>
      </c>
      <c r="G45">
        <v>77.122393639543347</v>
      </c>
      <c r="H45">
        <v>91.222022548623144</v>
      </c>
      <c r="J45">
        <f t="shared" ca="1" si="2"/>
        <v>97.422443291279237</v>
      </c>
      <c r="K45">
        <f t="shared" ca="1" si="3"/>
        <v>84.172208094083246</v>
      </c>
    </row>
    <row r="46" spans="2:11">
      <c r="B46">
        <v>55</v>
      </c>
      <c r="C46">
        <f t="shared" ca="1" si="1"/>
        <v>86.18179838848792</v>
      </c>
      <c r="E46">
        <v>97.227519825837163</v>
      </c>
      <c r="F46">
        <v>97.639966100218885</v>
      </c>
      <c r="G46">
        <v>75.015396552195028</v>
      </c>
      <c r="H46">
        <v>89.846903841754056</v>
      </c>
      <c r="J46">
        <f t="shared" ca="1" si="2"/>
        <v>97.433742963028024</v>
      </c>
      <c r="K46">
        <f t="shared" ca="1" si="3"/>
        <v>82.431150196974542</v>
      </c>
    </row>
    <row r="47" spans="2:11">
      <c r="B47">
        <v>60</v>
      </c>
      <c r="C47">
        <f t="shared" ca="1" si="1"/>
        <v>84.537450854528245</v>
      </c>
      <c r="E47">
        <v>95.430781217608114</v>
      </c>
      <c r="F47">
        <v>97.522676144571321</v>
      </c>
      <c r="G47">
        <v>73.042120516295512</v>
      </c>
      <c r="H47">
        <v>88.073262641719978</v>
      </c>
      <c r="J47">
        <f t="shared" ca="1" si="2"/>
        <v>96.476728681089725</v>
      </c>
      <c r="K47">
        <f t="shared" ca="1" si="3"/>
        <v>80.557691579007752</v>
      </c>
    </row>
    <row r="48" spans="2:11">
      <c r="B48">
        <v>65</v>
      </c>
      <c r="C48">
        <f t="shared" ca="1" si="1"/>
        <v>83.480066789764848</v>
      </c>
      <c r="E48">
        <v>94.141347469602636</v>
      </c>
      <c r="F48">
        <v>97.426552312008837</v>
      </c>
      <c r="G48">
        <v>71.45169305292886</v>
      </c>
      <c r="H48">
        <v>87.305851792573591</v>
      </c>
      <c r="J48">
        <f t="shared" ca="1" si="2"/>
        <v>95.783949890805729</v>
      </c>
      <c r="K48">
        <f t="shared" ca="1" si="3"/>
        <v>79.378772422751226</v>
      </c>
    </row>
    <row r="49" spans="2:11">
      <c r="B49">
        <v>70</v>
      </c>
      <c r="C49">
        <f t="shared" ca="1" si="1"/>
        <v>82.618936289119375</v>
      </c>
      <c r="E49">
        <v>92.837129023321808</v>
      </c>
      <c r="F49">
        <v>97.330428479446354</v>
      </c>
      <c r="G49">
        <v>70.058184441625727</v>
      </c>
      <c r="H49">
        <v>86.869793161769877</v>
      </c>
      <c r="J49">
        <f t="shared" ca="1" si="2"/>
        <v>95.083778751384074</v>
      </c>
      <c r="K49">
        <f t="shared" ca="1" si="3"/>
        <v>78.463988801697809</v>
      </c>
    </row>
    <row r="50" spans="2:11">
      <c r="B50">
        <v>75</v>
      </c>
      <c r="C50">
        <f t="shared" ca="1" si="1"/>
        <v>81.614726853611998</v>
      </c>
      <c r="E50">
        <v>91.012597676020931</v>
      </c>
      <c r="F50">
        <v>97.059441070462455</v>
      </c>
      <c r="G50">
        <v>68.827685631065549</v>
      </c>
      <c r="H50">
        <v>86.120906396405331</v>
      </c>
      <c r="J50">
        <f t="shared" ca="1" si="2"/>
        <v>94.036019373241686</v>
      </c>
      <c r="K50">
        <f t="shared" ca="1" si="3"/>
        <v>77.47429601373544</v>
      </c>
    </row>
    <row r="51" spans="2:11">
      <c r="B51">
        <v>80</v>
      </c>
      <c r="C51">
        <f t="shared" ca="1" si="1"/>
        <v>80.620651134641435</v>
      </c>
      <c r="E51">
        <v>89.188066328720055</v>
      </c>
      <c r="F51">
        <v>96.782291321859944</v>
      </c>
      <c r="G51">
        <v>67.716909575163967</v>
      </c>
      <c r="H51">
        <v>85.28137423368652</v>
      </c>
      <c r="J51">
        <f t="shared" ca="1" si="2"/>
        <v>92.985178825290006</v>
      </c>
      <c r="K51">
        <f t="shared" ca="1" si="3"/>
        <v>76.499141904425244</v>
      </c>
    </row>
    <row r="52" spans="2:11">
      <c r="B52">
        <v>85</v>
      </c>
      <c r="C52">
        <f t="shared" ca="1" si="1"/>
        <v>79.66238319602256</v>
      </c>
      <c r="E52">
        <v>87.202513759743624</v>
      </c>
      <c r="F52">
        <v>96.581273335887431</v>
      </c>
      <c r="G52">
        <v>66.798403350014809</v>
      </c>
      <c r="H52">
        <v>84.373356140834986</v>
      </c>
      <c r="J52">
        <f t="shared" ca="1" si="2"/>
        <v>91.891893547815528</v>
      </c>
      <c r="K52">
        <f t="shared" ca="1" si="3"/>
        <v>75.585879745424904</v>
      </c>
    </row>
    <row r="53" spans="2:11">
      <c r="B53">
        <v>90</v>
      </c>
      <c r="C53">
        <f t="shared" ca="1" si="1"/>
        <v>78.711175020338814</v>
      </c>
      <c r="E53">
        <v>85.213700618144657</v>
      </c>
      <c r="F53">
        <v>96.411781461697643</v>
      </c>
      <c r="G53">
        <v>65.911378413978213</v>
      </c>
      <c r="H53">
        <v>83.443260946977887</v>
      </c>
      <c r="J53">
        <f t="shared" ca="1" si="2"/>
        <v>90.81274103992115</v>
      </c>
      <c r="K53">
        <f t="shared" ca="1" si="3"/>
        <v>74.67731968047805</v>
      </c>
    </row>
    <row r="54" spans="2:11">
      <c r="B54">
        <v>95</v>
      </c>
      <c r="C54">
        <f t="shared" ca="1" si="1"/>
        <v>77.773731819038261</v>
      </c>
      <c r="E54">
        <v>83.224887476545661</v>
      </c>
      <c r="F54">
        <v>96.35240938257283</v>
      </c>
      <c r="G54">
        <v>65.024353477941716</v>
      </c>
      <c r="H54">
        <v>82.51316575312083</v>
      </c>
      <c r="J54">
        <f t="shared" ca="1" si="2"/>
        <v>89.788648429559245</v>
      </c>
      <c r="K54">
        <f t="shared" ca="1" si="3"/>
        <v>73.76875961553128</v>
      </c>
    </row>
    <row r="55" spans="2:11">
      <c r="B55">
        <v>100</v>
      </c>
      <c r="C55">
        <f t="shared" ca="1" si="1"/>
        <v>76.836288617737694</v>
      </c>
      <c r="E55">
        <v>81.236074334946665</v>
      </c>
      <c r="F55">
        <v>96.293037303447989</v>
      </c>
      <c r="G55">
        <v>64.137328541905219</v>
      </c>
      <c r="H55">
        <v>81.583070559263774</v>
      </c>
      <c r="J55">
        <f t="shared" ca="1" si="2"/>
        <v>88.764555819197327</v>
      </c>
      <c r="K55">
        <f t="shared" ca="1" si="3"/>
        <v>72.860199550584497</v>
      </c>
    </row>
    <row r="58" spans="2:11">
      <c r="C58" s="4"/>
    </row>
    <row r="59" spans="2:11">
      <c r="C59" s="4"/>
      <c r="J59" s="4"/>
      <c r="K59" s="4"/>
    </row>
    <row r="86" spans="3:11">
      <c r="C86" s="4"/>
    </row>
    <row r="87" spans="3:11">
      <c r="C87" s="4"/>
      <c r="J87" s="4"/>
      <c r="K87" s="4"/>
    </row>
  </sheetData>
  <mergeCells count="3">
    <mergeCell ref="C2:F2"/>
    <mergeCell ref="G2:J2"/>
    <mergeCell ref="K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AFEF3-C624-F944-9DC5-EE5B6F8C4A2D}">
  <dimension ref="B2:V87"/>
  <sheetViews>
    <sheetView topLeftCell="A14" zoomScale="112" zoomScaleNormal="190" workbookViewId="0">
      <selection activeCell="K35" sqref="K35:K55"/>
    </sheetView>
  </sheetViews>
  <sheetFormatPr defaultColWidth="11.42578125" defaultRowHeight="15"/>
  <cols>
    <col min="2" max="2" width="12" bestFit="1" customWidth="1"/>
  </cols>
  <sheetData>
    <row r="2" spans="2:16">
      <c r="B2" s="14" t="s">
        <v>5</v>
      </c>
      <c r="C2" s="27">
        <v>300</v>
      </c>
      <c r="D2" s="28"/>
      <c r="E2" s="28"/>
      <c r="F2" s="29"/>
      <c r="G2" s="27">
        <v>500</v>
      </c>
      <c r="H2" s="28"/>
      <c r="I2" s="28"/>
      <c r="J2" s="29"/>
      <c r="K2" s="27">
        <v>700</v>
      </c>
      <c r="L2" s="28"/>
      <c r="M2" s="28"/>
      <c r="N2" s="29"/>
    </row>
    <row r="3" spans="2:16">
      <c r="B3" s="15" t="s">
        <v>32</v>
      </c>
      <c r="C3" s="7">
        <v>30</v>
      </c>
      <c r="D3">
        <v>50</v>
      </c>
      <c r="E3">
        <v>70</v>
      </c>
      <c r="F3" s="8">
        <v>90</v>
      </c>
      <c r="G3" s="7">
        <v>30</v>
      </c>
      <c r="H3">
        <v>50</v>
      </c>
      <c r="I3">
        <v>70</v>
      </c>
      <c r="J3" s="8">
        <v>90</v>
      </c>
      <c r="K3" s="7">
        <v>30</v>
      </c>
      <c r="L3">
        <v>50</v>
      </c>
      <c r="M3">
        <v>70</v>
      </c>
      <c r="N3" s="8">
        <v>90</v>
      </c>
    </row>
    <row r="4" spans="2:16">
      <c r="B4" s="16" t="s">
        <v>33</v>
      </c>
      <c r="C4" s="20">
        <v>30030</v>
      </c>
      <c r="D4" s="21">
        <v>30050</v>
      </c>
      <c r="E4" s="21">
        <v>30070</v>
      </c>
      <c r="F4" s="22">
        <v>30090</v>
      </c>
      <c r="G4" s="20">
        <v>50030</v>
      </c>
      <c r="H4" s="21">
        <v>50050</v>
      </c>
      <c r="I4" s="21">
        <v>50070</v>
      </c>
      <c r="J4" s="22">
        <v>50090</v>
      </c>
      <c r="K4" s="20">
        <v>70030</v>
      </c>
      <c r="L4" s="21">
        <v>70050</v>
      </c>
      <c r="M4" s="21">
        <v>70070</v>
      </c>
      <c r="N4" s="22">
        <v>70090</v>
      </c>
      <c r="P4" s="1"/>
    </row>
    <row r="5" spans="2:16">
      <c r="B5" s="15" t="s">
        <v>9</v>
      </c>
      <c r="C5" s="7" t="s">
        <v>34</v>
      </c>
      <c r="D5" t="s">
        <v>34</v>
      </c>
      <c r="E5" t="s">
        <v>34</v>
      </c>
      <c r="F5" s="8" t="s">
        <v>34</v>
      </c>
      <c r="G5" s="7" t="s">
        <v>34</v>
      </c>
      <c r="H5" t="s">
        <v>34</v>
      </c>
      <c r="I5" t="s">
        <v>34</v>
      </c>
      <c r="J5" s="8" t="s">
        <v>34</v>
      </c>
      <c r="K5" s="7" t="s">
        <v>34</v>
      </c>
      <c r="L5" t="s">
        <v>34</v>
      </c>
      <c r="M5" t="s">
        <v>34</v>
      </c>
      <c r="N5" s="8" t="s">
        <v>34</v>
      </c>
    </row>
    <row r="6" spans="2:16">
      <c r="B6" s="16" t="s">
        <v>8</v>
      </c>
      <c r="C6" s="17" t="s">
        <v>8</v>
      </c>
      <c r="D6" s="18" t="s">
        <v>8</v>
      </c>
      <c r="E6" s="18" t="s">
        <v>8</v>
      </c>
      <c r="F6" s="19" t="s">
        <v>8</v>
      </c>
      <c r="G6" s="17" t="s">
        <v>8</v>
      </c>
      <c r="H6" s="18" t="s">
        <v>8</v>
      </c>
      <c r="I6" s="18" t="s">
        <v>8</v>
      </c>
      <c r="J6" s="19" t="s">
        <v>8</v>
      </c>
      <c r="K6" s="17" t="s">
        <v>8</v>
      </c>
      <c r="L6" s="18" t="s">
        <v>8</v>
      </c>
      <c r="M6" s="18" t="s">
        <v>8</v>
      </c>
      <c r="N6" s="19" t="s">
        <v>8</v>
      </c>
    </row>
    <row r="7" spans="2:16">
      <c r="B7" s="15">
        <v>0</v>
      </c>
      <c r="C7" s="9">
        <v>99.961038707222144</v>
      </c>
      <c r="D7" s="4">
        <v>99.979753036649171</v>
      </c>
      <c r="E7" s="4">
        <v>99.899384056486809</v>
      </c>
      <c r="F7" s="10">
        <v>99.676159845027072</v>
      </c>
      <c r="G7" s="9">
        <v>94.707745208058924</v>
      </c>
      <c r="H7" s="4">
        <v>99.918469893681532</v>
      </c>
      <c r="I7" s="4">
        <v>99.5170732189668</v>
      </c>
      <c r="J7" s="10">
        <v>98.076195062929798</v>
      </c>
      <c r="K7" s="9">
        <v>66.352670797428516</v>
      </c>
      <c r="L7" s="4">
        <v>99.872047139763723</v>
      </c>
      <c r="M7" s="4">
        <v>98.295961278302201</v>
      </c>
      <c r="N7" s="10">
        <v>98.295961278302201</v>
      </c>
    </row>
    <row r="8" spans="2:16">
      <c r="B8" s="15">
        <v>5</v>
      </c>
      <c r="C8" s="9">
        <v>99.961038707222144</v>
      </c>
      <c r="D8" s="4">
        <v>99.947070690274231</v>
      </c>
      <c r="E8" s="4">
        <v>99.856167660337221</v>
      </c>
      <c r="F8" s="10">
        <v>99.624455151304488</v>
      </c>
      <c r="G8" s="9">
        <v>94.707745208058924</v>
      </c>
      <c r="H8" s="4">
        <v>99.918469893681532</v>
      </c>
      <c r="I8" s="4">
        <v>99.263911749377243</v>
      </c>
      <c r="J8" s="10">
        <v>98.0466449996336</v>
      </c>
      <c r="K8" s="9">
        <v>64.445505441030193</v>
      </c>
      <c r="L8" s="4">
        <v>99.872047139763723</v>
      </c>
      <c r="M8" s="4">
        <v>97.737450977768646</v>
      </c>
      <c r="N8" s="10">
        <v>97.737450977768646</v>
      </c>
    </row>
    <row r="9" spans="2:16">
      <c r="B9" s="15">
        <v>10</v>
      </c>
      <c r="C9" s="9">
        <v>99.961038707222144</v>
      </c>
      <c r="D9" s="4">
        <v>99.91438834389929</v>
      </c>
      <c r="E9" s="4">
        <v>99.812951264187632</v>
      </c>
      <c r="F9" s="10">
        <v>99.572750457581904</v>
      </c>
      <c r="G9" s="9">
        <v>94.707745208058924</v>
      </c>
      <c r="H9" s="4">
        <v>99.596639977267174</v>
      </c>
      <c r="I9" s="4">
        <v>99.010750279787686</v>
      </c>
      <c r="J9" s="10">
        <v>98.017094936337401</v>
      </c>
      <c r="K9" s="9">
        <v>62.538340084631869</v>
      </c>
      <c r="L9" s="4">
        <v>97.259133569443321</v>
      </c>
      <c r="M9" s="4">
        <v>97.17894067723509</v>
      </c>
      <c r="N9" s="10">
        <v>97.17894067723509</v>
      </c>
    </row>
    <row r="10" spans="2:16">
      <c r="B10" s="15">
        <v>15</v>
      </c>
      <c r="C10" s="9">
        <v>99.961038707222144</v>
      </c>
      <c r="D10" s="4">
        <v>99.881705997524321</v>
      </c>
      <c r="E10" s="4">
        <v>99.769734868038384</v>
      </c>
      <c r="F10" s="10">
        <v>99.521045763859519</v>
      </c>
      <c r="G10" s="9">
        <v>94.707745208058924</v>
      </c>
      <c r="H10" s="4">
        <v>99.274810060852872</v>
      </c>
      <c r="I10" s="4">
        <v>98.757588810198101</v>
      </c>
      <c r="J10" s="10">
        <v>97.987544873041188</v>
      </c>
      <c r="K10" s="9">
        <v>60.631174728233546</v>
      </c>
      <c r="L10" s="4">
        <v>94.64621999912292</v>
      </c>
      <c r="M10" s="4">
        <v>96.620430376701506</v>
      </c>
      <c r="N10" s="10">
        <v>96.620430376701506</v>
      </c>
    </row>
    <row r="11" spans="2:16">
      <c r="B11" s="15">
        <v>20</v>
      </c>
      <c r="C11" s="9">
        <v>99.961038707222144</v>
      </c>
      <c r="D11" s="4">
        <v>99.849023651149352</v>
      </c>
      <c r="E11" s="4">
        <v>99.726518471889136</v>
      </c>
      <c r="F11" s="10">
        <v>99.469341070137133</v>
      </c>
      <c r="G11" s="9">
        <v>91.765485303369644</v>
      </c>
      <c r="H11" s="4">
        <v>98.952980144438584</v>
      </c>
      <c r="I11" s="4">
        <v>98.504427340608501</v>
      </c>
      <c r="J11" s="10">
        <v>97.957994809744989</v>
      </c>
      <c r="K11" s="9">
        <v>58.551350266455607</v>
      </c>
      <c r="L11" s="4">
        <v>92.033306428802504</v>
      </c>
      <c r="M11" s="4">
        <v>96.061920076167908</v>
      </c>
      <c r="N11" s="10">
        <v>96.061920076167908</v>
      </c>
    </row>
    <row r="12" spans="2:16">
      <c r="B12" s="15">
        <v>25</v>
      </c>
      <c r="C12" s="9">
        <v>99.961038707222144</v>
      </c>
      <c r="D12" s="4">
        <v>99.816341304774383</v>
      </c>
      <c r="E12" s="4">
        <v>99.683302075739903</v>
      </c>
      <c r="F12" s="10">
        <v>99.417636376414748</v>
      </c>
      <c r="G12" s="9">
        <v>87.585627232275556</v>
      </c>
      <c r="H12" s="4">
        <v>98.631150228024282</v>
      </c>
      <c r="I12" s="4">
        <v>98.251265871018902</v>
      </c>
      <c r="J12" s="10">
        <v>97.928444746448776</v>
      </c>
      <c r="K12" s="9">
        <v>56.213649957529924</v>
      </c>
      <c r="L12" s="4">
        <v>89.444935965718315</v>
      </c>
      <c r="M12" s="4">
        <v>95.50340977563431</v>
      </c>
      <c r="N12" s="10">
        <v>95.50340977563431</v>
      </c>
    </row>
    <row r="13" spans="2:16">
      <c r="B13" s="15">
        <v>30</v>
      </c>
      <c r="C13" s="9">
        <v>99.961038707222144</v>
      </c>
      <c r="D13" s="4">
        <v>99.783658958399414</v>
      </c>
      <c r="E13" s="4">
        <v>99.640085679590669</v>
      </c>
      <c r="F13" s="10">
        <v>99.365931682692377</v>
      </c>
      <c r="G13" s="9">
        <v>83.405769161181453</v>
      </c>
      <c r="H13" s="4">
        <v>98.309320311609994</v>
      </c>
      <c r="I13" s="4">
        <v>97.998174474519246</v>
      </c>
      <c r="J13" s="10">
        <v>97.898894683152577</v>
      </c>
      <c r="K13" s="9">
        <v>53.875949648604248</v>
      </c>
      <c r="L13" s="4">
        <v>86.860070870656898</v>
      </c>
      <c r="M13" s="4">
        <v>94.944899475100712</v>
      </c>
      <c r="N13" s="10">
        <v>94.944899475100712</v>
      </c>
    </row>
    <row r="14" spans="2:16">
      <c r="B14" s="15">
        <v>35</v>
      </c>
      <c r="C14" s="9">
        <v>99.961038707222144</v>
      </c>
      <c r="D14" s="4">
        <v>99.769544293015898</v>
      </c>
      <c r="E14" s="4">
        <v>99.619838853336461</v>
      </c>
      <c r="F14" s="10">
        <v>99.357294819862531</v>
      </c>
      <c r="G14" s="9">
        <v>81.609673525549411</v>
      </c>
      <c r="H14" s="4">
        <v>98.144980062165786</v>
      </c>
      <c r="I14" s="4">
        <v>97.938315096525571</v>
      </c>
      <c r="J14" s="10">
        <v>97.865607836042699</v>
      </c>
      <c r="K14" s="9">
        <v>51.538249339678572</v>
      </c>
      <c r="L14" s="4">
        <v>84.565041072563574</v>
      </c>
      <c r="M14" s="4">
        <v>94.187382562077062</v>
      </c>
      <c r="N14" s="10">
        <v>94.187382562077062</v>
      </c>
    </row>
    <row r="15" spans="2:16">
      <c r="B15" s="15">
        <v>40</v>
      </c>
      <c r="C15" s="9">
        <v>99.850498821287928</v>
      </c>
      <c r="D15" s="4">
        <v>99.763038292677294</v>
      </c>
      <c r="E15" s="4">
        <v>99.599831695653279</v>
      </c>
      <c r="F15" s="10">
        <v>99.354690577887197</v>
      </c>
      <c r="G15" s="9">
        <v>79.973569359920887</v>
      </c>
      <c r="H15" s="4">
        <v>98.006363392161944</v>
      </c>
      <c r="I15" s="4">
        <v>97.878472282548884</v>
      </c>
      <c r="J15" s="10">
        <v>97.83185798122966</v>
      </c>
      <c r="K15" s="9">
        <v>50.936870109906991</v>
      </c>
      <c r="L15" s="4">
        <v>82.287920355286062</v>
      </c>
      <c r="M15" s="4">
        <v>93.198929224259089</v>
      </c>
      <c r="N15" s="10">
        <v>93.198929224259089</v>
      </c>
    </row>
    <row r="16" spans="2:16">
      <c r="B16" s="15">
        <v>45</v>
      </c>
      <c r="C16" s="9">
        <v>99.739958935353712</v>
      </c>
      <c r="D16" s="4">
        <v>99.75653229233869</v>
      </c>
      <c r="E16" s="4">
        <v>99.579824537970097</v>
      </c>
      <c r="F16" s="10">
        <v>99.352086335911864</v>
      </c>
      <c r="G16" s="9">
        <v>78.337465194292349</v>
      </c>
      <c r="H16" s="4">
        <v>97.492173449111505</v>
      </c>
      <c r="I16" s="4">
        <v>97.818629468572198</v>
      </c>
      <c r="J16" s="10">
        <v>97.798108126416622</v>
      </c>
      <c r="K16" s="9">
        <v>50.501930983249025</v>
      </c>
      <c r="L16" s="4">
        <v>79.716375113812745</v>
      </c>
      <c r="M16" s="4">
        <v>92.210475886441117</v>
      </c>
      <c r="N16" s="10">
        <v>92.210475886441117</v>
      </c>
    </row>
    <row r="17" spans="2:14">
      <c r="B17" s="15">
        <v>50</v>
      </c>
      <c r="C17" s="9">
        <v>99.594381730503585</v>
      </c>
      <c r="D17" s="4">
        <v>99.750026292000086</v>
      </c>
      <c r="E17" s="4">
        <v>99.559817380286901</v>
      </c>
      <c r="F17" s="10">
        <v>99.34948209393653</v>
      </c>
      <c r="G17" s="9">
        <v>76.701361028663825</v>
      </c>
      <c r="H17" s="4">
        <v>97.086099927962948</v>
      </c>
      <c r="I17" s="4">
        <v>97.758786654595525</v>
      </c>
      <c r="J17" s="10">
        <v>97.764358271603598</v>
      </c>
      <c r="K17" s="9">
        <v>50.066991856591066</v>
      </c>
      <c r="L17" s="4">
        <v>77.122393639543347</v>
      </c>
      <c r="M17" s="4">
        <v>91.222022548623144</v>
      </c>
      <c r="N17" s="10">
        <v>91.222022548623144</v>
      </c>
    </row>
    <row r="18" spans="2:14">
      <c r="B18" s="15">
        <v>55</v>
      </c>
      <c r="C18" s="9">
        <v>99.258528682580263</v>
      </c>
      <c r="D18" s="4">
        <v>99.789819666934605</v>
      </c>
      <c r="E18" s="4">
        <v>99.611646012157394</v>
      </c>
      <c r="F18" s="10">
        <v>99.435102357033259</v>
      </c>
      <c r="G18" s="9">
        <v>75.453596578272865</v>
      </c>
      <c r="H18" s="4">
        <v>97.227519825837163</v>
      </c>
      <c r="I18" s="4">
        <v>97.639966100218885</v>
      </c>
      <c r="J18" s="10">
        <v>97.663705392205955</v>
      </c>
      <c r="K18" s="9">
        <v>49.235796241336885</v>
      </c>
      <c r="L18" s="4">
        <v>75.015396552195028</v>
      </c>
      <c r="M18" s="4">
        <v>89.846903841754056</v>
      </c>
      <c r="N18" s="10">
        <v>89.846903841754056</v>
      </c>
    </row>
    <row r="19" spans="2:14">
      <c r="B19" s="15">
        <v>60</v>
      </c>
      <c r="C19" s="9">
        <v>98.92267563465694</v>
      </c>
      <c r="D19" s="4">
        <v>99.839557427290828</v>
      </c>
      <c r="E19" s="4">
        <v>99.664434669158396</v>
      </c>
      <c r="F19" s="10">
        <v>99.52474449902509</v>
      </c>
      <c r="G19" s="9">
        <v>74.217055925581789</v>
      </c>
      <c r="H19" s="4">
        <v>95.430781217608114</v>
      </c>
      <c r="I19" s="4">
        <v>97.522676144571321</v>
      </c>
      <c r="J19" s="10">
        <v>97.557735625909487</v>
      </c>
      <c r="K19" s="9">
        <v>48.031980675794074</v>
      </c>
      <c r="L19" s="4">
        <v>73.042120516295512</v>
      </c>
      <c r="M19" s="4">
        <v>88.073262641719978</v>
      </c>
      <c r="N19" s="10">
        <v>88.073262641719978</v>
      </c>
    </row>
    <row r="20" spans="2:14">
      <c r="B20" s="15">
        <v>65</v>
      </c>
      <c r="C20" s="9">
        <v>98.567693225326451</v>
      </c>
      <c r="D20" s="4">
        <v>99.871622328734006</v>
      </c>
      <c r="E20" s="4">
        <v>99.671447109955864</v>
      </c>
      <c r="F20" s="10">
        <v>99.490050599816058</v>
      </c>
      <c r="G20" s="9">
        <v>73.001850880891794</v>
      </c>
      <c r="H20" s="4">
        <v>94.141347469602636</v>
      </c>
      <c r="I20" s="4">
        <v>97.426552312008837</v>
      </c>
      <c r="J20" s="10">
        <v>97.580333510757825</v>
      </c>
      <c r="K20" s="9">
        <v>47.240850808234768</v>
      </c>
      <c r="L20" s="4">
        <v>71.45169305292886</v>
      </c>
      <c r="M20" s="4">
        <v>87.305851792573591</v>
      </c>
      <c r="N20" s="10">
        <v>87.305851792573591</v>
      </c>
    </row>
    <row r="21" spans="2:14">
      <c r="B21" s="15">
        <v>70</v>
      </c>
      <c r="C21" s="9">
        <v>98.2121769476243</v>
      </c>
      <c r="D21" s="4">
        <v>99.901761581352858</v>
      </c>
      <c r="E21" s="4">
        <v>99.678459550753331</v>
      </c>
      <c r="F21" s="10">
        <v>99.44640002899969</v>
      </c>
      <c r="G21" s="9">
        <v>71.789094521223973</v>
      </c>
      <c r="H21" s="4">
        <v>92.837129023321808</v>
      </c>
      <c r="I21" s="4">
        <v>97.330428479446354</v>
      </c>
      <c r="J21" s="10">
        <v>97.611409463257203</v>
      </c>
      <c r="K21" s="9">
        <v>47.255360043915893</v>
      </c>
      <c r="L21" s="4">
        <v>70.058184441625727</v>
      </c>
      <c r="M21" s="4">
        <v>86.869793161769877</v>
      </c>
      <c r="N21" s="10">
        <v>86.869793161769877</v>
      </c>
    </row>
    <row r="22" spans="2:14">
      <c r="B22" s="15">
        <v>75</v>
      </c>
      <c r="C22" s="9">
        <v>97.853962764986377</v>
      </c>
      <c r="D22" s="4">
        <v>99.878768439151415</v>
      </c>
      <c r="E22" s="4">
        <v>99.704992063204983</v>
      </c>
      <c r="F22" s="10">
        <v>99.501409947352371</v>
      </c>
      <c r="G22" s="9">
        <v>70.642320141862399</v>
      </c>
      <c r="H22" s="4">
        <v>91.012597676020931</v>
      </c>
      <c r="I22" s="4">
        <v>97.059441070462455</v>
      </c>
      <c r="J22" s="10">
        <v>97.593789415837449</v>
      </c>
      <c r="K22" s="9">
        <v>46.639072505591258</v>
      </c>
      <c r="L22" s="4">
        <v>68.827685631065549</v>
      </c>
      <c r="M22" s="4">
        <v>86.120906396405331</v>
      </c>
      <c r="N22" s="10">
        <v>86.120906396405331</v>
      </c>
    </row>
    <row r="23" spans="2:14">
      <c r="B23" s="15">
        <v>80</v>
      </c>
      <c r="C23" s="9">
        <v>97.493136133269388</v>
      </c>
      <c r="D23" s="4">
        <v>99.847550169535822</v>
      </c>
      <c r="E23" s="4">
        <v>99.742394628714806</v>
      </c>
      <c r="F23" s="10">
        <v>99.556419865705053</v>
      </c>
      <c r="G23" s="9">
        <v>69.575361085914636</v>
      </c>
      <c r="H23" s="4">
        <v>89.188066328720055</v>
      </c>
      <c r="I23" s="4">
        <v>96.782291321859944</v>
      </c>
      <c r="J23" s="10">
        <v>97.569076246100252</v>
      </c>
      <c r="K23" s="9">
        <v>45.74749083173316</v>
      </c>
      <c r="L23" s="4">
        <v>67.716909575163967</v>
      </c>
      <c r="M23" s="4">
        <v>85.28137423368652</v>
      </c>
      <c r="N23" s="10">
        <v>85.28137423368652</v>
      </c>
    </row>
    <row r="24" spans="2:14">
      <c r="B24" s="15">
        <v>85</v>
      </c>
      <c r="C24" s="9">
        <v>97.116968093621395</v>
      </c>
      <c r="D24" s="4">
        <v>99.676680324521584</v>
      </c>
      <c r="E24" s="4">
        <v>99.739983694897006</v>
      </c>
      <c r="F24" s="10">
        <v>99.573869696116816</v>
      </c>
      <c r="G24" s="9">
        <v>68.660468274374878</v>
      </c>
      <c r="H24" s="4">
        <v>87.202513759743624</v>
      </c>
      <c r="I24" s="4">
        <v>96.581273335887431</v>
      </c>
      <c r="J24" s="10">
        <v>97.502285247463035</v>
      </c>
      <c r="K24" s="9">
        <v>44.761220922572996</v>
      </c>
      <c r="L24" s="4">
        <v>66.798403350014809</v>
      </c>
      <c r="M24" s="4">
        <v>84.373356140834986</v>
      </c>
      <c r="N24" s="10">
        <v>84.373356140834986</v>
      </c>
    </row>
    <row r="25" spans="2:14">
      <c r="B25" s="15">
        <v>90</v>
      </c>
      <c r="C25" s="9">
        <v>96.744043614732561</v>
      </c>
      <c r="D25" s="4">
        <v>99.504950432967192</v>
      </c>
      <c r="E25" s="4">
        <v>99.72693576972739</v>
      </c>
      <c r="F25" s="10">
        <v>99.587210119710164</v>
      </c>
      <c r="G25" s="9">
        <v>67.772815327444903</v>
      </c>
      <c r="H25" s="4">
        <v>85.213700618144657</v>
      </c>
      <c r="I25" s="4">
        <v>96.411781461697643</v>
      </c>
      <c r="J25" s="10">
        <v>97.434528366707383</v>
      </c>
      <c r="K25" s="9">
        <v>43.774951013412831</v>
      </c>
      <c r="L25" s="4">
        <v>65.911378413978213</v>
      </c>
      <c r="M25" s="4">
        <v>83.443260946977887</v>
      </c>
      <c r="N25" s="10">
        <v>83.443260946977887</v>
      </c>
    </row>
    <row r="26" spans="2:14">
      <c r="B26" s="15">
        <v>95</v>
      </c>
      <c r="C26" s="9">
        <v>96.378863780709693</v>
      </c>
      <c r="D26" s="4">
        <v>99.067745616251827</v>
      </c>
      <c r="E26" s="4">
        <v>99.443815076536211</v>
      </c>
      <c r="F26" s="10">
        <v>99.448886663338882</v>
      </c>
      <c r="G26" s="9">
        <v>66.885162380514927</v>
      </c>
      <c r="H26" s="4">
        <v>83.224887476545661</v>
      </c>
      <c r="I26" s="4">
        <v>96.35240938257283</v>
      </c>
      <c r="J26" s="10">
        <v>97.257526214583223</v>
      </c>
      <c r="K26" s="9">
        <v>42.788681104252667</v>
      </c>
      <c r="L26" s="4">
        <v>65.024353477941716</v>
      </c>
      <c r="M26" s="4">
        <v>82.51316575312083</v>
      </c>
      <c r="N26" s="10">
        <v>82.51316575312083</v>
      </c>
    </row>
    <row r="27" spans="2:14">
      <c r="B27" s="16">
        <v>100</v>
      </c>
      <c r="C27" s="11">
        <v>96.013683946686811</v>
      </c>
      <c r="D27" s="12">
        <v>98.630540799536618</v>
      </c>
      <c r="E27" s="12">
        <v>99.115106544792184</v>
      </c>
      <c r="F27" s="13">
        <v>99.251178325633788</v>
      </c>
      <c r="G27" s="11">
        <v>65.997509433584966</v>
      </c>
      <c r="H27" s="12">
        <v>81.236074334946665</v>
      </c>
      <c r="I27" s="12">
        <v>96.293037303447989</v>
      </c>
      <c r="J27" s="13">
        <v>97.069523081100584</v>
      </c>
      <c r="K27" s="11">
        <v>41.802411195092503</v>
      </c>
      <c r="L27" s="12">
        <v>64.137328541905219</v>
      </c>
      <c r="M27" s="12">
        <v>81.583070559263774</v>
      </c>
      <c r="N27" s="13">
        <v>81.583070559263774</v>
      </c>
    </row>
    <row r="30" spans="2:14">
      <c r="B30" t="s">
        <v>5</v>
      </c>
      <c r="C30" s="4">
        <f>'Tapping design'!E43</f>
        <v>650</v>
      </c>
      <c r="E30">
        <f>IF(AND(0&lt;=C30,C30&lt;=$C$2),$C$2,IF(AND(0&lt;C30,C30&lt;=$G$2),$C$2,IF(AND($G$2&lt;C30,C30&lt;=$K$2),$G$2,IF($K$2&lt;C30,$K$2,"false"))))</f>
        <v>500</v>
      </c>
      <c r="F30">
        <f>IF(AND(0&lt;=C30,C30&lt;=$C$2),$C$2,IF(AND(0&lt;C30,C30&lt;=$G$2),$C$2,IF(AND($G$2&lt;C30,C30&lt;=$K$2),$G$2,IF($K$2&lt;C30,$K$2,"false"))))</f>
        <v>500</v>
      </c>
      <c r="G30">
        <f>IF(AND(0&lt;=C30,C30&lt;=$C$2),$C$2,IF(AND($C$2&lt;C30,C30&lt;=$G$2),$G$2,IF(AND($G$2&lt;C30,C30&lt;=$K$2),$K$2,IF($K$2&lt;C30,$K$2,"false"))))</f>
        <v>700</v>
      </c>
      <c r="H30">
        <f>IF(AND(0&lt;=C30,C30&lt;=$C$2),$C$2,IF(AND($C$2&lt;C30,C30&lt;=$G$2),$G$2,IF(AND($G$2&lt;C30,C30&lt;=$K$2),$K$2,IF($K$2&lt;C30,$K$2,"false"))))</f>
        <v>700</v>
      </c>
      <c r="J30">
        <f>F30</f>
        <v>500</v>
      </c>
      <c r="K30">
        <f>H30</f>
        <v>700</v>
      </c>
    </row>
    <row r="31" spans="2:14">
      <c r="B31" t="s">
        <v>32</v>
      </c>
      <c r="C31" s="4">
        <f>'Tapping design'!E44</f>
        <v>60</v>
      </c>
      <c r="E31">
        <f>IF(AND(0&lt;=C31,C31&lt;=$C$3),$C$3,IF(AND($C$3&lt;C31,C31&lt;=$D$3),$C$3,IF(AND($D$3&lt;C31,C31&lt;=$E$3),$D$3,IF(AND($E$3&lt;C31,C31&lt;=$F$3),$E$3,IF($F$3&lt;C31,$F$3,"false")))))</f>
        <v>50</v>
      </c>
      <c r="F31">
        <f>IF(AND(0&lt;=C31,C31&lt;=$C$3),$C$3,IF(AND($C$3&lt;C31,C31&lt;=$D$3),$D$3,IF(AND($D$3&lt;C31,C31&lt;=$E$3),$E$3,IF(AND($E$3&lt;C31,C31&lt;=$F$3),$F$3,IF($F$3&lt;C31,$F$3,"false")))))</f>
        <v>70</v>
      </c>
      <c r="G31">
        <f>IF(AND(0&lt;=C31,C31&lt;=$C$3),$C$3,IF(AND($C$3&lt;C31,C31&lt;=$D$3),$C$3,IF(AND($D$3&lt;C31,C31&lt;=$E$3),$D$3,IF(AND($E$3&lt;C31,C31&lt;=$F$3),$E$3,IF($F$3&lt;C31,$F$3,"false")))))</f>
        <v>50</v>
      </c>
      <c r="H31">
        <f>IF(AND(0&lt;=C31,C31&lt;=$C$3),$C$3,IF(AND($C$3&lt;C31,C31&lt;=$D$3),$D$3,IF(AND($D$3&lt;C31,C31&lt;=$E$3),$E$3,IF(AND($E$3&lt;C31,C31&lt;=$F$3),$F$3,IF($F$3&lt;C31,$F$3,"false")))))</f>
        <v>70</v>
      </c>
      <c r="J31" s="4">
        <f>C31</f>
        <v>60</v>
      </c>
      <c r="K31" s="4">
        <f>C31</f>
        <v>60</v>
      </c>
    </row>
    <row r="32" spans="2:14">
      <c r="B32" t="s">
        <v>33</v>
      </c>
      <c r="E32">
        <f>(E30*100)+E31</f>
        <v>50050</v>
      </c>
      <c r="F32">
        <f t="shared" ref="F32:H32" si="0">(F30*100)+F31</f>
        <v>50070</v>
      </c>
      <c r="G32">
        <f t="shared" si="0"/>
        <v>70050</v>
      </c>
      <c r="H32">
        <f t="shared" si="0"/>
        <v>70070</v>
      </c>
    </row>
    <row r="33" spans="2:22">
      <c r="B33" t="s">
        <v>9</v>
      </c>
      <c r="C33" t="s">
        <v>34</v>
      </c>
      <c r="E33" t="s">
        <v>34</v>
      </c>
      <c r="F33" t="s">
        <v>34</v>
      </c>
      <c r="G33" t="s">
        <v>34</v>
      </c>
      <c r="H33" t="s">
        <v>34</v>
      </c>
      <c r="J33" t="s">
        <v>34</v>
      </c>
      <c r="K33" t="s">
        <v>34</v>
      </c>
    </row>
    <row r="34" spans="2:22">
      <c r="B34" t="s">
        <v>8</v>
      </c>
      <c r="C34" t="s">
        <v>8</v>
      </c>
      <c r="E34" t="s">
        <v>8</v>
      </c>
      <c r="F34" t="s">
        <v>8</v>
      </c>
      <c r="G34" t="s">
        <v>8</v>
      </c>
      <c r="H34" t="s">
        <v>8</v>
      </c>
      <c r="J34" t="s">
        <v>8</v>
      </c>
      <c r="K34" t="s">
        <v>8</v>
      </c>
    </row>
    <row r="35" spans="2:22">
      <c r="B35">
        <v>0</v>
      </c>
      <c r="C35">
        <f ca="1">IF($C$30=$K$30,K35,IF($C$30=$J$30,J35,FORECAST($C$30,OFFSET(J35:K35,0,MATCH($C$30,$J$30:$K$30,1)-1,1,2),OFFSET($J$30:$K$30,0,MATCH($C$30,$J$30:$K$30,1)-1,1,2))))</f>
        <v>99.242446045855772</v>
      </c>
      <c r="E35" cm="1">
        <f t="array" ref="E35:E55">(INDEX(C7:N27,0,MATCH(E32,C4:N4,0)))</f>
        <v>99.918469893681532</v>
      </c>
      <c r="F35" cm="1">
        <f t="array" ref="F35:F55">(INDEX(C7:N27,0,MATCH(F32,C4:N4,0)))</f>
        <v>99.5170732189668</v>
      </c>
      <c r="G35" cm="1">
        <f t="array" ref="G35:G55">(INDEX(C7:N27,0,MATCH(G32,C4:N4,0)))</f>
        <v>99.872047139763723</v>
      </c>
      <c r="H35" cm="1">
        <f t="array" ref="H35:H55">(INDEX(C7:N27,0,MATCH(H32,C4:N4,0)))</f>
        <v>98.295961278302201</v>
      </c>
      <c r="J35">
        <f ca="1">IF($J$31=$F$31,F35,IF($J$31=$E$31,E35,FORECAST($J$31,OFFSET(E35:F35,0,MATCH($J$31,$E$31:$F$31,1)-1,1,2),OFFSET($E$31:$F$31,0,MATCH($J$31,$E$31:$F$31,1)-1,1,2))))</f>
        <v>99.717771556324166</v>
      </c>
      <c r="K35">
        <f ca="1">IF($K$31=$H$31,H35,IF($K$31=$G$31,G35,FORECAST($K$31,OFFSET(G35:H35,0,MATCH($K$31,$G$31:$H$31,1)-1,1,2),OFFSET($G$31:$H$31,0,MATCH($K$31,$G$31:$H$31,1)-1,1,2))))</f>
        <v>99.084004209032969</v>
      </c>
    </row>
    <row r="36" spans="2:22">
      <c r="B36">
        <v>5</v>
      </c>
      <c r="C36">
        <f t="shared" ref="C36:C55" ca="1" si="1">IF($C$30=$K$30,K36,IF($C$30=$J$30,J36,FORECAST($C$30,OFFSET(J36:K36,0,MATCH($C$30,$J$30:$K$30,1)-1,1,2),OFFSET($J$30:$K$30,0,MATCH($C$30,$J$30:$K$30,1)-1,1,2))))</f>
        <v>99.001359499456981</v>
      </c>
      <c r="E36">
        <v>99.918469893681532</v>
      </c>
      <c r="F36">
        <v>99.263911749377243</v>
      </c>
      <c r="G36">
        <v>99.872047139763723</v>
      </c>
      <c r="H36">
        <v>97.737450977768646</v>
      </c>
      <c r="J36">
        <f t="shared" ref="J36:J55" ca="1" si="2">IF($J$31=$F$31,F36,IF($J$31=$E$31,E36,FORECAST($J$31,OFFSET(E36:F36,0,MATCH($J$31,$E$31:$F$31,1)-1,1,2),OFFSET($E$31:$F$31,0,MATCH($J$31,$E$31:$F$31,1)-1,1,2))))</f>
        <v>99.591190821529381</v>
      </c>
      <c r="K36">
        <f t="shared" ref="K36:K55" ca="1" si="3">IF($K$31=$H$31,H36,IF($K$31=$G$31,G36,FORECAST($K$31,OFFSET(G36:H36,0,MATCH($K$31,$G$31:$H$31,1)-1,1,2),OFFSET($G$31:$H$31,0,MATCH($K$31,$G$31:$H$31,1)-1,1,2))))</f>
        <v>98.804749058766191</v>
      </c>
      <c r="Q36" t="s">
        <v>4</v>
      </c>
      <c r="R36" t="s">
        <v>17</v>
      </c>
      <c r="S36" t="s">
        <v>9</v>
      </c>
      <c r="T36" t="s">
        <v>35</v>
      </c>
    </row>
    <row r="37" spans="2:22">
      <c r="B37">
        <v>10</v>
      </c>
      <c r="C37">
        <f t="shared" ca="1" si="1"/>
        <v>97.740201624636256</v>
      </c>
      <c r="E37">
        <v>99.596639977267174</v>
      </c>
      <c r="F37">
        <v>99.010750279787686</v>
      </c>
      <c r="G37">
        <v>97.259133569443321</v>
      </c>
      <c r="H37">
        <v>97.17894067723509</v>
      </c>
      <c r="J37">
        <f t="shared" ca="1" si="2"/>
        <v>99.303695128527437</v>
      </c>
      <c r="K37">
        <f t="shared" ca="1" si="3"/>
        <v>97.219037123339206</v>
      </c>
      <c r="Q37">
        <v>89.93</v>
      </c>
      <c r="R37">
        <v>95.45</v>
      </c>
      <c r="S37">
        <v>79.75</v>
      </c>
      <c r="T37">
        <v>73.23</v>
      </c>
    </row>
    <row r="38" spans="2:22">
      <c r="B38">
        <v>15</v>
      </c>
      <c r="C38">
        <f t="shared" ca="1" si="1"/>
        <v>96.479043749815531</v>
      </c>
      <c r="E38">
        <v>99.274810060852872</v>
      </c>
      <c r="F38">
        <v>98.757588810198101</v>
      </c>
      <c r="G38">
        <v>94.64621999912292</v>
      </c>
      <c r="H38">
        <v>96.620430376701506</v>
      </c>
      <c r="J38">
        <f t="shared" ca="1" si="2"/>
        <v>99.016199435525493</v>
      </c>
      <c r="K38">
        <f t="shared" ca="1" si="3"/>
        <v>95.63332518791222</v>
      </c>
      <c r="Q38">
        <v>91.8</v>
      </c>
      <c r="R38">
        <v>94.12</v>
      </c>
      <c r="S38">
        <v>80.75</v>
      </c>
      <c r="T38">
        <v>61.57</v>
      </c>
    </row>
    <row r="39" spans="2:22">
      <c r="B39">
        <v>20</v>
      </c>
      <c r="C39">
        <f t="shared" ca="1" si="1"/>
        <v>95.217885874994792</v>
      </c>
      <c r="E39">
        <v>98.952980144438584</v>
      </c>
      <c r="F39">
        <v>98.504427340608501</v>
      </c>
      <c r="G39">
        <v>92.033306428802504</v>
      </c>
      <c r="H39">
        <v>96.061920076167908</v>
      </c>
      <c r="J39">
        <f t="shared" ca="1" si="2"/>
        <v>98.72870374252355</v>
      </c>
      <c r="K39">
        <f t="shared" ca="1" si="3"/>
        <v>94.047613252485206</v>
      </c>
      <c r="Q39">
        <v>93.7</v>
      </c>
      <c r="R39">
        <v>94.1</v>
      </c>
      <c r="S39">
        <v>80.5</v>
      </c>
      <c r="T39">
        <v>51.44</v>
      </c>
    </row>
    <row r="40" spans="2:22">
      <c r="B40">
        <v>25</v>
      </c>
      <c r="C40">
        <f t="shared" ca="1" si="1"/>
        <v>93.965931665387629</v>
      </c>
      <c r="E40">
        <v>98.631150228024282</v>
      </c>
      <c r="F40">
        <v>98.251265871018902</v>
      </c>
      <c r="G40">
        <v>89.444935965718315</v>
      </c>
      <c r="H40">
        <v>95.50340977563431</v>
      </c>
      <c r="J40">
        <f t="shared" ca="1" si="2"/>
        <v>98.441208049521592</v>
      </c>
      <c r="K40">
        <f t="shared" ca="1" si="3"/>
        <v>92.474172870676313</v>
      </c>
      <c r="Q40">
        <v>96.38</v>
      </c>
      <c r="R40">
        <v>90</v>
      </c>
      <c r="S40">
        <v>80</v>
      </c>
      <c r="T40">
        <v>73.739999999999995</v>
      </c>
    </row>
    <row r="41" spans="2:22">
      <c r="B41">
        <v>30</v>
      </c>
      <c r="C41">
        <f t="shared" ca="1" si="1"/>
        <v>92.715300727925268</v>
      </c>
      <c r="E41">
        <v>98.309320311609994</v>
      </c>
      <c r="F41">
        <v>97.998174474519246</v>
      </c>
      <c r="G41">
        <v>86.860070870656898</v>
      </c>
      <c r="H41">
        <v>94.944899475100712</v>
      </c>
      <c r="J41">
        <f t="shared" ca="1" si="2"/>
        <v>98.15374739306462</v>
      </c>
      <c r="K41">
        <f t="shared" ca="1" si="3"/>
        <v>90.902485172878812</v>
      </c>
      <c r="Q41">
        <v>98.26</v>
      </c>
      <c r="R41">
        <v>86.42</v>
      </c>
      <c r="S41">
        <v>82</v>
      </c>
      <c r="T41">
        <v>111.53</v>
      </c>
    </row>
    <row r="42" spans="2:22">
      <c r="B42">
        <v>35</v>
      </c>
      <c r="C42">
        <f t="shared" ca="1" si="1"/>
        <v>91.542570757826667</v>
      </c>
      <c r="E42">
        <v>98.144980062165786</v>
      </c>
      <c r="F42">
        <v>97.938315096525571</v>
      </c>
      <c r="G42">
        <v>84.565041072563574</v>
      </c>
      <c r="H42">
        <v>94.187382562077062</v>
      </c>
      <c r="J42">
        <f t="shared" ca="1" si="2"/>
        <v>98.041647579345678</v>
      </c>
      <c r="K42">
        <f t="shared" ca="1" si="3"/>
        <v>89.376211817320325</v>
      </c>
    </row>
    <row r="43" spans="2:22">
      <c r="B43">
        <v>40</v>
      </c>
      <c r="C43">
        <f t="shared" ca="1" si="1"/>
        <v>90.293173051668276</v>
      </c>
      <c r="E43">
        <v>98.006363392161944</v>
      </c>
      <c r="F43">
        <v>97.878472282548884</v>
      </c>
      <c r="G43">
        <v>82.287920355286062</v>
      </c>
      <c r="H43">
        <v>93.198929224259089</v>
      </c>
      <c r="J43">
        <f t="shared" ca="1" si="2"/>
        <v>97.942417837355407</v>
      </c>
      <c r="K43">
        <f t="shared" ca="1" si="3"/>
        <v>87.743424789772575</v>
      </c>
    </row>
    <row r="44" spans="2:22">
      <c r="B44">
        <v>45</v>
      </c>
      <c r="C44">
        <f t="shared" ca="1" si="1"/>
        <v>88.886419489805661</v>
      </c>
      <c r="E44">
        <v>97.492173449111505</v>
      </c>
      <c r="F44">
        <v>97.818629468572198</v>
      </c>
      <c r="G44">
        <v>79.716375113812745</v>
      </c>
      <c r="H44">
        <v>92.210475886441117</v>
      </c>
      <c r="J44">
        <f t="shared" ca="1" si="2"/>
        <v>97.655401458841851</v>
      </c>
      <c r="K44">
        <f t="shared" ca="1" si="3"/>
        <v>85.963425500126931</v>
      </c>
    </row>
    <row r="45" spans="2:22">
      <c r="B45">
        <v>50</v>
      </c>
      <c r="C45">
        <f t="shared" ca="1" si="1"/>
        <v>87.484766893382229</v>
      </c>
      <c r="E45">
        <v>97.086099927962948</v>
      </c>
      <c r="F45">
        <v>97.758786654595525</v>
      </c>
      <c r="G45">
        <v>77.122393639543347</v>
      </c>
      <c r="H45">
        <v>91.222022548623144</v>
      </c>
      <c r="J45">
        <f t="shared" ca="1" si="2"/>
        <v>97.422443291279237</v>
      </c>
      <c r="K45">
        <f t="shared" ca="1" si="3"/>
        <v>84.172208094083246</v>
      </c>
    </row>
    <row r="46" spans="2:22">
      <c r="B46">
        <v>55</v>
      </c>
      <c r="C46">
        <f t="shared" ca="1" si="1"/>
        <v>86.18179838848792</v>
      </c>
      <c r="E46">
        <v>97.227519825837163</v>
      </c>
      <c r="F46">
        <v>97.639966100218885</v>
      </c>
      <c r="G46">
        <v>75.015396552195028</v>
      </c>
      <c r="H46">
        <v>89.846903841754056</v>
      </c>
      <c r="J46">
        <f t="shared" ca="1" si="2"/>
        <v>97.433742963028024</v>
      </c>
      <c r="K46">
        <f t="shared" ca="1" si="3"/>
        <v>82.431150196974542</v>
      </c>
    </row>
    <row r="47" spans="2:22">
      <c r="B47">
        <v>60</v>
      </c>
      <c r="C47">
        <f t="shared" ca="1" si="1"/>
        <v>84.537450854528245</v>
      </c>
      <c r="E47">
        <v>95.430781217608114</v>
      </c>
      <c r="F47">
        <v>97.522676144571321</v>
      </c>
      <c r="G47">
        <v>73.042120516295512</v>
      </c>
      <c r="H47">
        <v>88.073262641719978</v>
      </c>
      <c r="J47">
        <f t="shared" ca="1" si="2"/>
        <v>96.476728681089725</v>
      </c>
      <c r="K47">
        <f t="shared" ca="1" si="3"/>
        <v>80.557691579007752</v>
      </c>
    </row>
    <row r="48" spans="2:22">
      <c r="B48">
        <v>65</v>
      </c>
      <c r="C48">
        <f t="shared" ca="1" si="1"/>
        <v>83.480066789764848</v>
      </c>
      <c r="E48">
        <v>94.141347469602636</v>
      </c>
      <c r="F48">
        <v>97.426552312008837</v>
      </c>
      <c r="G48">
        <v>71.45169305292886</v>
      </c>
      <c r="H48">
        <v>87.305851792573591</v>
      </c>
      <c r="J48">
        <f t="shared" ca="1" si="2"/>
        <v>95.783949890805729</v>
      </c>
      <c r="K48">
        <f t="shared" ca="1" si="3"/>
        <v>79.378772422751226</v>
      </c>
      <c r="R48">
        <v>86.42</v>
      </c>
      <c r="S48">
        <v>90</v>
      </c>
      <c r="T48">
        <v>94.1</v>
      </c>
      <c r="U48">
        <v>94.12</v>
      </c>
      <c r="V48">
        <v>95.45</v>
      </c>
    </row>
    <row r="49" spans="2:22">
      <c r="B49">
        <v>70</v>
      </c>
      <c r="C49">
        <f t="shared" ca="1" si="1"/>
        <v>82.618936289119375</v>
      </c>
      <c r="E49">
        <v>92.837129023321808</v>
      </c>
      <c r="F49">
        <v>97.330428479446354</v>
      </c>
      <c r="G49">
        <v>70.058184441625727</v>
      </c>
      <c r="H49">
        <v>86.869793161769877</v>
      </c>
      <c r="J49">
        <f t="shared" ca="1" si="2"/>
        <v>95.083778751384074</v>
      </c>
      <c r="K49">
        <f t="shared" ca="1" si="3"/>
        <v>78.463988801697809</v>
      </c>
      <c r="Q49">
        <v>89.93</v>
      </c>
      <c r="R49">
        <v>0</v>
      </c>
      <c r="S49">
        <v>0</v>
      </c>
      <c r="T49">
        <v>0</v>
      </c>
      <c r="U49">
        <v>0</v>
      </c>
      <c r="V49">
        <v>73.23</v>
      </c>
    </row>
    <row r="50" spans="2:22">
      <c r="B50">
        <v>75</v>
      </c>
      <c r="C50">
        <f t="shared" ca="1" si="1"/>
        <v>81.614726853611998</v>
      </c>
      <c r="E50">
        <v>91.012597676020931</v>
      </c>
      <c r="F50">
        <v>97.059441070462455</v>
      </c>
      <c r="G50">
        <v>68.827685631065549</v>
      </c>
      <c r="H50">
        <v>86.120906396405331</v>
      </c>
      <c r="J50">
        <f t="shared" ca="1" si="2"/>
        <v>94.036019373241686</v>
      </c>
      <c r="K50">
        <f t="shared" ca="1" si="3"/>
        <v>77.47429601373544</v>
      </c>
      <c r="Q50">
        <v>91.8</v>
      </c>
      <c r="R50">
        <v>0</v>
      </c>
      <c r="S50">
        <v>0</v>
      </c>
      <c r="T50">
        <v>0</v>
      </c>
      <c r="U50">
        <v>61.57</v>
      </c>
      <c r="V50">
        <v>0</v>
      </c>
    </row>
    <row r="51" spans="2:22">
      <c r="B51">
        <v>80</v>
      </c>
      <c r="C51">
        <f t="shared" ca="1" si="1"/>
        <v>80.620651134641435</v>
      </c>
      <c r="E51">
        <v>89.188066328720055</v>
      </c>
      <c r="F51">
        <v>96.782291321859944</v>
      </c>
      <c r="G51">
        <v>67.716909575163967</v>
      </c>
      <c r="H51">
        <v>85.28137423368652</v>
      </c>
      <c r="J51">
        <f t="shared" ca="1" si="2"/>
        <v>92.985178825290006</v>
      </c>
      <c r="K51">
        <f t="shared" ca="1" si="3"/>
        <v>76.499141904425244</v>
      </c>
      <c r="Q51">
        <v>93.7</v>
      </c>
      <c r="R51">
        <v>0</v>
      </c>
      <c r="S51">
        <v>0</v>
      </c>
      <c r="T51">
        <v>51.44</v>
      </c>
      <c r="U51">
        <v>0</v>
      </c>
      <c r="V51">
        <v>0</v>
      </c>
    </row>
    <row r="52" spans="2:22">
      <c r="B52">
        <v>85</v>
      </c>
      <c r="C52">
        <f t="shared" ca="1" si="1"/>
        <v>79.66238319602256</v>
      </c>
      <c r="E52">
        <v>87.202513759743624</v>
      </c>
      <c r="F52">
        <v>96.581273335887431</v>
      </c>
      <c r="G52">
        <v>66.798403350014809</v>
      </c>
      <c r="H52">
        <v>84.373356140834986</v>
      </c>
      <c r="J52">
        <f t="shared" ca="1" si="2"/>
        <v>91.891893547815528</v>
      </c>
      <c r="K52">
        <f t="shared" ca="1" si="3"/>
        <v>75.585879745424904</v>
      </c>
      <c r="Q52">
        <v>96.38</v>
      </c>
      <c r="R52">
        <v>0</v>
      </c>
      <c r="S52">
        <v>73.739999999999995</v>
      </c>
      <c r="T52">
        <v>0</v>
      </c>
      <c r="U52">
        <v>0</v>
      </c>
      <c r="V52">
        <v>0</v>
      </c>
    </row>
    <row r="53" spans="2:22">
      <c r="B53">
        <v>90</v>
      </c>
      <c r="C53">
        <f t="shared" ca="1" si="1"/>
        <v>78.711175020338814</v>
      </c>
      <c r="E53">
        <v>85.213700618144657</v>
      </c>
      <c r="F53">
        <v>96.411781461697643</v>
      </c>
      <c r="G53">
        <v>65.911378413978213</v>
      </c>
      <c r="H53">
        <v>83.443260946977887</v>
      </c>
      <c r="J53">
        <f t="shared" ca="1" si="2"/>
        <v>90.81274103992115</v>
      </c>
      <c r="K53">
        <f t="shared" ca="1" si="3"/>
        <v>74.67731968047805</v>
      </c>
      <c r="Q53">
        <v>98.26</v>
      </c>
      <c r="R53">
        <v>111.53</v>
      </c>
      <c r="S53">
        <v>0</v>
      </c>
      <c r="T53">
        <v>0</v>
      </c>
      <c r="U53">
        <v>0</v>
      </c>
      <c r="V53">
        <v>0</v>
      </c>
    </row>
    <row r="54" spans="2:22">
      <c r="B54">
        <v>95</v>
      </c>
      <c r="C54">
        <f t="shared" ca="1" si="1"/>
        <v>77.773731819038261</v>
      </c>
      <c r="E54">
        <v>83.224887476545661</v>
      </c>
      <c r="F54">
        <v>96.35240938257283</v>
      </c>
      <c r="G54">
        <v>65.024353477941716</v>
      </c>
      <c r="H54">
        <v>82.51316575312083</v>
      </c>
      <c r="J54">
        <f t="shared" ca="1" si="2"/>
        <v>89.788648429559245</v>
      </c>
      <c r="K54">
        <f t="shared" ca="1" si="3"/>
        <v>73.76875961553128</v>
      </c>
    </row>
    <row r="55" spans="2:22">
      <c r="B55">
        <v>100</v>
      </c>
      <c r="C55">
        <f t="shared" ca="1" si="1"/>
        <v>76.836288617737694</v>
      </c>
      <c r="E55">
        <v>81.236074334946665</v>
      </c>
      <c r="F55">
        <v>96.293037303447989</v>
      </c>
      <c r="G55">
        <v>64.137328541905219</v>
      </c>
      <c r="H55">
        <v>81.583070559263774</v>
      </c>
      <c r="J55">
        <f t="shared" ca="1" si="2"/>
        <v>88.764555819197327</v>
      </c>
      <c r="K55">
        <f t="shared" ca="1" si="3"/>
        <v>72.860199550584497</v>
      </c>
    </row>
    <row r="58" spans="2:22">
      <c r="B58" t="s">
        <v>5</v>
      </c>
      <c r="C58" s="4">
        <f ca="1">'Tapping design'!I43</f>
        <v>401.10753777371542</v>
      </c>
      <c r="E58">
        <f ca="1">IF(AND(0&lt;=C58,C58&lt;=$C$2),$C$2,IF(AND(0&lt;C58,C58&lt;=$G$2),$C$2,IF(AND($G$2&lt;C58,C58&lt;=$K$2),$G$2,IF($K$2&lt;C58,$K$2,"false"))))</f>
        <v>300</v>
      </c>
      <c r="F58">
        <f ca="1">IF(AND(0&lt;=C58,C58&lt;=$C$2),$C$2,IF(AND(0&lt;C58,C58&lt;=$G$2),$C$2,IF(AND($G$2&lt;C58,C58&lt;=$K$2),$G$2,IF($K$2&lt;C58,$K$2,"false"))))</f>
        <v>300</v>
      </c>
      <c r="G58">
        <f ca="1">IF(AND(0&lt;=C58,C58&lt;=$C$2),$C$2,IF(AND($C$2&lt;C58,C58&lt;=$G$2),$G$2,IF(AND($G$2&lt;C58,C58&lt;=$K$2),$K$2,IF($K$2&lt;C58,$K$2,"false"))))</f>
        <v>500</v>
      </c>
      <c r="H58">
        <f ca="1">IF(AND(0&lt;=C58,C58&lt;=$C$2),$C$2,IF(AND($C$2&lt;C58,C58&lt;=$G$2),$G$2,IF(AND($G$2&lt;C58,C58&lt;=$K$2),$K$2,IF($K$2&lt;C58,$K$2,"false"))))</f>
        <v>500</v>
      </c>
      <c r="J58">
        <f ca="1">F58</f>
        <v>300</v>
      </c>
      <c r="K58">
        <f ca="1">H58</f>
        <v>500</v>
      </c>
    </row>
    <row r="59" spans="2:22">
      <c r="B59" t="s">
        <v>32</v>
      </c>
      <c r="C59" s="4">
        <f ca="1">'Tapping design'!I44</f>
        <v>43.753852389333105</v>
      </c>
      <c r="E59">
        <f ca="1">IF(AND(0&lt;=C59,C59&lt;=$C$3),$C$3,IF(AND($C$3&lt;C59,C59&lt;=$D$3),$C$3,IF(AND($D$3&lt;C59,C59&lt;=$E$3),$D$3,IF(AND($E$3&lt;C59,C59&lt;=$F$3),$E$3,IF($F$3&lt;C59,$F$3,"false")))))</f>
        <v>30</v>
      </c>
      <c r="F59">
        <f ca="1">IF(AND(0&lt;=C59,C59&lt;=$C$3),$C$3,IF(AND($C$3&lt;C59,C59&lt;=$D$3),$D$3,IF(AND($D$3&lt;C59,C59&lt;=$E$3),$E$3,IF(AND($E$3&lt;C59,C59&lt;=$F$3),$F$3,IF($F$3&lt;C59,$F$3,"false")))))</f>
        <v>50</v>
      </c>
      <c r="G59">
        <f ca="1">IF(AND(0&lt;=C59,C59&lt;=$C$3),$C$3,IF(AND($C$3&lt;C59,C59&lt;=$D$3),$C$3,IF(AND($D$3&lt;C59,C59&lt;=$E$3),$D$3,IF(AND($E$3&lt;C59,C59&lt;=$F$3),$E$3,IF($F$3&lt;C59,$F$3,"false")))))</f>
        <v>30</v>
      </c>
      <c r="H59">
        <f ca="1">IF(AND(0&lt;=C59,C59&lt;=$C$3),$C$3,IF(AND($C$3&lt;C59,C59&lt;=$D$3),$D$3,IF(AND($D$3&lt;C59,C59&lt;=$E$3),$E$3,IF(AND($E$3&lt;C59,C59&lt;=$F$3),$F$3,IF($F$3&lt;C59,$F$3,"false")))))</f>
        <v>50</v>
      </c>
      <c r="J59" s="4">
        <f ca="1">C59</f>
        <v>43.753852389333105</v>
      </c>
      <c r="K59" s="4">
        <f ca="1">C59</f>
        <v>43.753852389333105</v>
      </c>
    </row>
    <row r="60" spans="2:22">
      <c r="B60" t="s">
        <v>33</v>
      </c>
      <c r="E60">
        <f ca="1">(E58*100)+E59</f>
        <v>30030</v>
      </c>
      <c r="F60">
        <f t="shared" ref="F60:H60" ca="1" si="4">(F58*100)+F59</f>
        <v>30050</v>
      </c>
      <c r="G60">
        <f t="shared" ca="1" si="4"/>
        <v>50030</v>
      </c>
      <c r="H60">
        <f t="shared" ca="1" si="4"/>
        <v>50050</v>
      </c>
    </row>
    <row r="61" spans="2:22">
      <c r="B61" t="s">
        <v>9</v>
      </c>
      <c r="C61" t="s">
        <v>34</v>
      </c>
      <c r="E61" t="s">
        <v>34</v>
      </c>
      <c r="F61" t="s">
        <v>34</v>
      </c>
      <c r="G61" t="s">
        <v>34</v>
      </c>
      <c r="H61" t="s">
        <v>34</v>
      </c>
      <c r="J61" t="s">
        <v>34</v>
      </c>
      <c r="K61" t="s">
        <v>34</v>
      </c>
    </row>
    <row r="62" spans="2:22">
      <c r="B62" t="s">
        <v>8</v>
      </c>
      <c r="C62" t="s">
        <v>8</v>
      </c>
      <c r="E62" t="s">
        <v>8</v>
      </c>
      <c r="F62" t="s">
        <v>8</v>
      </c>
      <c r="G62" t="s">
        <v>8</v>
      </c>
      <c r="H62" t="s">
        <v>8</v>
      </c>
      <c r="J62" t="s">
        <v>8</v>
      </c>
      <c r="K62" t="s">
        <v>8</v>
      </c>
    </row>
    <row r="63" spans="2:22">
      <c r="B63">
        <v>0</v>
      </c>
      <c r="C63">
        <f ca="1">IF($C$58&lt;$C$2,J63,FORECAST($C$58,OFFSET(J63:K63,0,MATCH($C$58,$J$58:$K$58,1)-1,1,2),OFFSET($J$58:$K$58,0,MATCH($C$58,$J$58:$K$58,1)-1,1,2)))</f>
        <v>99.12319651799568</v>
      </c>
      <c r="E63" cm="1">
        <f t="array" aca="1" ref="E63:E83" ca="1">(INDEX(C7:N27,0,MATCH(E60,C4:N4,0)))</f>
        <v>99.961038707222144</v>
      </c>
      <c r="F63" cm="1">
        <f t="array" aca="1" ref="F63:F83" ca="1">(INDEX(C7:N27,0,MATCH(F60,C4:N4,0)))</f>
        <v>99.979753036649171</v>
      </c>
      <c r="G63" cm="1">
        <f t="array" aca="1" ref="G63:G83" ca="1">(INDEX(C7:N27,0,MATCH(G60,C4:N4,0)))</f>
        <v>94.707745208058924</v>
      </c>
      <c r="H63" cm="1">
        <f t="array" aca="1" ref="H63:H83" ca="1">(INDEX(C7:N27,0,MATCH(H60,C4:N4,0)))</f>
        <v>99.918469893681532</v>
      </c>
      <c r="J63">
        <f ca="1">IF($J$59&lt;$C$3,E63,FORECAST($J$59,OFFSET(E63:F63,0,MATCH($J$59,$E$59:$F$59,1)-1,1,2),OFFSET($E$59:$F$59,0,MATCH($J$59,$E$59:$F$59,1)-1,1,2)))</f>
        <v>99.97390841344739</v>
      </c>
      <c r="K63">
        <f ca="1">IF($K$59&lt;$C$3,G63,FORECAST($K$59,OFFSET(G63:H63,0,MATCH($K$59,$G$59:$H$59,1)-1,1,2),OFFSET($G$59:$H$59,0,MATCH($K$59,$G$59:$H$59,1)-1,1,2)))</f>
        <v>98.291122116434295</v>
      </c>
    </row>
    <row r="64" spans="2:22">
      <c r="B64">
        <v>5</v>
      </c>
      <c r="C64">
        <f t="shared" ref="C64:C83" ca="1" si="5">IF($C$58&lt;$C$2,J64,FORECAST($C$58,OFFSET(J64:K64,0,MATCH($C$58,$J$58:$K$58,1)-1,1,2),OFFSET($J$58:$K$58,0,MATCH($C$58,$J$58:$K$58,1)-1,1,2)))</f>
        <v>99.11208327562008</v>
      </c>
      <c r="E64">
        <f ca="1"/>
        <v>99.961038707222144</v>
      </c>
      <c r="F64">
        <f ca="1"/>
        <v>99.947070690274231</v>
      </c>
      <c r="G64">
        <f ca="1"/>
        <v>94.707745208058924</v>
      </c>
      <c r="H64">
        <f ca="1"/>
        <v>99.918469893681532</v>
      </c>
      <c r="J64">
        <f t="shared" ref="J64:J83" ca="1" si="6">IF($J$59&lt;$C$3,E64,FORECAST($J$59,OFFSET(E64:F64,0,MATCH($J$59,$E$59:$F$59,1)-1,1,2),OFFSET($E$59:$F$59,0,MATCH($J$59,$E$59:$F$59,1)-1,1,2)))</f>
        <v>99.95143300505849</v>
      </c>
      <c r="K64">
        <f t="shared" ref="K64:K83" ca="1" si="7">IF($K$59&lt;$C$3,G64,FORECAST($K$59,OFFSET(G64:H64,0,MATCH($K$59,$G$59:$H$59,1)-1,1,2),OFFSET($G$59:$H$59,0,MATCH($K$59,$G$59:$H$59,1)-1,1,2)))</f>
        <v>98.291122116434295</v>
      </c>
    </row>
    <row r="65" spans="2:11">
      <c r="B65">
        <v>10</v>
      </c>
      <c r="C65">
        <f t="shared" ca="1" si="5"/>
        <v>98.989084402500708</v>
      </c>
      <c r="E65">
        <f ca="1"/>
        <v>99.961038707222144</v>
      </c>
      <c r="F65">
        <f ca="1"/>
        <v>99.91438834389929</v>
      </c>
      <c r="G65">
        <f ca="1"/>
        <v>94.707745208058924</v>
      </c>
      <c r="H65">
        <f ca="1"/>
        <v>99.596639977267174</v>
      </c>
      <c r="J65">
        <f t="shared" ca="1" si="6"/>
        <v>99.928957596669591</v>
      </c>
      <c r="K65">
        <f t="shared" ca="1" si="7"/>
        <v>98.069802058192579</v>
      </c>
    </row>
    <row r="66" spans="2:11">
      <c r="B66">
        <v>15</v>
      </c>
      <c r="C66">
        <f t="shared" ca="1" si="5"/>
        <v>98.866085529381337</v>
      </c>
      <c r="E66">
        <f ca="1"/>
        <v>99.961038707222144</v>
      </c>
      <c r="F66">
        <f ca="1"/>
        <v>99.881705997524321</v>
      </c>
      <c r="G66">
        <f ca="1"/>
        <v>94.707745208058924</v>
      </c>
      <c r="H66">
        <f ca="1"/>
        <v>99.274810060852872</v>
      </c>
      <c r="J66">
        <f t="shared" ca="1" si="6"/>
        <v>99.906482188280648</v>
      </c>
      <c r="K66">
        <f t="shared" ca="1" si="7"/>
        <v>97.848481999950891</v>
      </c>
    </row>
    <row r="67" spans="2:11">
      <c r="B67">
        <v>20</v>
      </c>
      <c r="C67">
        <f t="shared" ca="1" si="5"/>
        <v>98.278553390355839</v>
      </c>
      <c r="E67">
        <f ca="1"/>
        <v>99.961038707222144</v>
      </c>
      <c r="F67">
        <f ca="1"/>
        <v>99.849023651149352</v>
      </c>
      <c r="G67">
        <f ca="1"/>
        <v>91.765485303369644</v>
      </c>
      <c r="H67">
        <f ca="1"/>
        <v>98.952980144438584</v>
      </c>
      <c r="J67">
        <f t="shared" ca="1" si="6"/>
        <v>99.884006779891749</v>
      </c>
      <c r="K67">
        <f t="shared" ca="1" si="7"/>
        <v>96.708272458027409</v>
      </c>
    </row>
    <row r="68" spans="2:11">
      <c r="B68">
        <v>25</v>
      </c>
      <c r="C68">
        <f t="shared" ca="1" si="5"/>
        <v>97.495625352686844</v>
      </c>
      <c r="E68">
        <f ca="1"/>
        <v>99.961038707222144</v>
      </c>
      <c r="F68">
        <f ca="1"/>
        <v>99.816341304774383</v>
      </c>
      <c r="G68">
        <f ca="1"/>
        <v>87.585627232275556</v>
      </c>
      <c r="H68">
        <f ca="1"/>
        <v>98.631150228024282</v>
      </c>
      <c r="J68">
        <f t="shared" ca="1" si="6"/>
        <v>99.861531371502821</v>
      </c>
      <c r="K68">
        <f t="shared" ca="1" si="7"/>
        <v>95.181551874601183</v>
      </c>
    </row>
    <row r="69" spans="2:11">
      <c r="B69">
        <v>30</v>
      </c>
      <c r="C69">
        <f t="shared" ca="1" si="5"/>
        <v>96.712697315017834</v>
      </c>
      <c r="E69">
        <f ca="1"/>
        <v>99.961038707222144</v>
      </c>
      <c r="F69">
        <f ca="1"/>
        <v>99.783658958399414</v>
      </c>
      <c r="G69">
        <f ca="1"/>
        <v>83.405769161181453</v>
      </c>
      <c r="H69">
        <f ca="1"/>
        <v>98.309320311609994</v>
      </c>
      <c r="J69">
        <f t="shared" ca="1" si="6"/>
        <v>99.839055963113907</v>
      </c>
      <c r="K69">
        <f t="shared" ca="1" si="7"/>
        <v>93.654831291174929</v>
      </c>
    </row>
    <row r="70" spans="2:11">
      <c r="B70">
        <v>35</v>
      </c>
      <c r="C70">
        <f t="shared" ca="1" si="5"/>
        <v>96.367190918742438</v>
      </c>
      <c r="E70">
        <f ca="1"/>
        <v>99.961038707222144</v>
      </c>
      <c r="F70">
        <f ca="1"/>
        <v>99.769544293015898</v>
      </c>
      <c r="G70">
        <f ca="1"/>
        <v>81.609673525549411</v>
      </c>
      <c r="H70">
        <f ca="1"/>
        <v>98.144980062165786</v>
      </c>
      <c r="J70">
        <f t="shared" ca="1" si="6"/>
        <v>99.829349411903408</v>
      </c>
      <c r="K70">
        <f t="shared" ca="1" si="7"/>
        <v>92.980881791399241</v>
      </c>
    </row>
    <row r="71" spans="2:11">
      <c r="B71">
        <v>40</v>
      </c>
      <c r="C71">
        <f t="shared" ca="1" si="5"/>
        <v>96.041404598248036</v>
      </c>
      <c r="E71">
        <f ca="1"/>
        <v>99.850498821287928</v>
      </c>
      <c r="F71">
        <f ca="1"/>
        <v>99.763038292677294</v>
      </c>
      <c r="G71">
        <f ca="1"/>
        <v>79.973569359920887</v>
      </c>
      <c r="H71">
        <f ca="1"/>
        <v>98.006363392161944</v>
      </c>
      <c r="J71">
        <f t="shared" ca="1" si="6"/>
        <v>99.790352861267735</v>
      </c>
      <c r="K71">
        <f t="shared" ca="1" si="7"/>
        <v>92.374588724255418</v>
      </c>
    </row>
    <row r="72" spans="2:11">
      <c r="B72">
        <v>45</v>
      </c>
      <c r="C72">
        <f t="shared" ca="1" si="5"/>
        <v>95.585048525216337</v>
      </c>
      <c r="E72">
        <f ca="1"/>
        <v>99.739958935353712</v>
      </c>
      <c r="F72">
        <f ca="1"/>
        <v>99.75653229233869</v>
      </c>
      <c r="G72">
        <f ca="1"/>
        <v>78.337465194292349</v>
      </c>
      <c r="H72">
        <f ca="1"/>
        <v>97.492173449111505</v>
      </c>
      <c r="J72">
        <f t="shared" ca="1" si="6"/>
        <v>99.751356310632062</v>
      </c>
      <c r="K72">
        <f t="shared" ca="1" si="7"/>
        <v>91.510016689168495</v>
      </c>
    </row>
    <row r="73" spans="2:11">
      <c r="B73">
        <v>50</v>
      </c>
      <c r="C73">
        <f t="shared" ca="1" si="5"/>
        <v>95.160869005871291</v>
      </c>
      <c r="E73">
        <f ca="1"/>
        <v>99.594381730503585</v>
      </c>
      <c r="F73">
        <f ca="1"/>
        <v>99.750026292000086</v>
      </c>
      <c r="G73">
        <f ca="1"/>
        <v>76.701361028663825</v>
      </c>
      <c r="H73">
        <f ca="1"/>
        <v>97.086099927962948</v>
      </c>
      <c r="J73">
        <f t="shared" ca="1" si="6"/>
        <v>99.701417346704858</v>
      </c>
      <c r="K73">
        <f t="shared" ca="1" si="7"/>
        <v>90.719795519466658</v>
      </c>
    </row>
    <row r="74" spans="2:11">
      <c r="B74">
        <v>55</v>
      </c>
      <c r="C74">
        <f t="shared" ca="1" si="5"/>
        <v>94.974700706313257</v>
      </c>
      <c r="E74">
        <f ca="1"/>
        <v>99.258528682580263</v>
      </c>
      <c r="F74">
        <f ca="1"/>
        <v>99.789819666934605</v>
      </c>
      <c r="G74">
        <f ca="1"/>
        <v>75.453596578272865</v>
      </c>
      <c r="H74">
        <f ca="1"/>
        <v>97.227519825837163</v>
      </c>
      <c r="J74">
        <f t="shared" ca="1" si="6"/>
        <v>99.623893571309921</v>
      </c>
      <c r="K74">
        <f t="shared" ca="1" si="7"/>
        <v>90.427362892456244</v>
      </c>
    </row>
    <row r="75" spans="2:11">
      <c r="B75">
        <v>60</v>
      </c>
      <c r="C75">
        <f t="shared" ca="1" si="5"/>
        <v>94.11987632601614</v>
      </c>
      <c r="E75">
        <f ca="1"/>
        <v>98.92267563465694</v>
      </c>
      <c r="F75">
        <f ca="1"/>
        <v>99.839557427290828</v>
      </c>
      <c r="G75">
        <f ca="1"/>
        <v>74.217055925581789</v>
      </c>
      <c r="H75">
        <f ca="1"/>
        <v>95.430781217608114</v>
      </c>
      <c r="J75">
        <f t="shared" ca="1" si="6"/>
        <v>99.553208476374621</v>
      </c>
      <c r="K75">
        <f t="shared" ca="1" si="7"/>
        <v>88.805578240301415</v>
      </c>
    </row>
    <row r="76" spans="2:11">
      <c r="B76">
        <v>65</v>
      </c>
      <c r="C76">
        <f t="shared" ca="1" si="5"/>
        <v>93.435823833360331</v>
      </c>
      <c r="E76">
        <f ca="1"/>
        <v>98.567693225326451</v>
      </c>
      <c r="F76">
        <f ca="1"/>
        <v>99.871622328734006</v>
      </c>
      <c r="G76">
        <f ca="1"/>
        <v>73.001850880891794</v>
      </c>
      <c r="H76">
        <f ca="1"/>
        <v>94.141347469602636</v>
      </c>
      <c r="J76">
        <f t="shared" ca="1" si="6"/>
        <v>99.464395646047592</v>
      </c>
      <c r="K76">
        <f t="shared" ca="1" si="7"/>
        <v>87.539326664188778</v>
      </c>
    </row>
    <row r="77" spans="2:11">
      <c r="B77">
        <v>70</v>
      </c>
      <c r="C77">
        <f t="shared" ca="1" si="5"/>
        <v>92.746280743227061</v>
      </c>
      <c r="E77">
        <f ca="1"/>
        <v>98.2121769476243</v>
      </c>
      <c r="F77">
        <f ca="1"/>
        <v>99.901761581352858</v>
      </c>
      <c r="G77">
        <f ca="1"/>
        <v>71.789094521223973</v>
      </c>
      <c r="H77">
        <f ca="1"/>
        <v>92.837129023321808</v>
      </c>
      <c r="J77">
        <f t="shared" ca="1" si="6"/>
        <v>99.374091830203696</v>
      </c>
      <c r="K77">
        <f t="shared" ca="1" si="7"/>
        <v>86.263672502596165</v>
      </c>
    </row>
    <row r="78" spans="2:11">
      <c r="B78">
        <v>75</v>
      </c>
      <c r="C78">
        <f t="shared" ca="1" si="5"/>
        <v>91.867782295605153</v>
      </c>
      <c r="E78">
        <f ca="1"/>
        <v>97.853962764986377</v>
      </c>
      <c r="F78">
        <f ca="1"/>
        <v>99.878768439151415</v>
      </c>
      <c r="G78">
        <f ca="1"/>
        <v>70.642320141862399</v>
      </c>
      <c r="H78">
        <f ca="1"/>
        <v>91.012597676020931</v>
      </c>
      <c r="J78">
        <f t="shared" ca="1" si="6"/>
        <v>99.24640668296388</v>
      </c>
      <c r="K78">
        <f t="shared" ca="1" si="7"/>
        <v>84.650809658590646</v>
      </c>
    </row>
    <row r="79" spans="2:11">
      <c r="B79">
        <v>80</v>
      </c>
      <c r="C79">
        <f t="shared" ca="1" si="5"/>
        <v>90.998685060786414</v>
      </c>
      <c r="E79">
        <f ca="1"/>
        <v>97.493136133269388</v>
      </c>
      <c r="F79">
        <f ca="1"/>
        <v>99.847550169535822</v>
      </c>
      <c r="G79">
        <f ca="1"/>
        <v>69.575361085914636</v>
      </c>
      <c r="H79">
        <f ca="1"/>
        <v>89.188066328720055</v>
      </c>
      <c r="J79">
        <f t="shared" ca="1" si="6"/>
        <v>99.112249289178507</v>
      </c>
      <c r="K79">
        <f t="shared" ca="1" si="7"/>
        <v>83.062873729166895</v>
      </c>
    </row>
    <row r="80" spans="2:11">
      <c r="B80">
        <v>85</v>
      </c>
      <c r="C80">
        <f t="shared" ca="1" si="5"/>
        <v>90.047760826566616</v>
      </c>
      <c r="E80">
        <f ca="1"/>
        <v>97.116968093621395</v>
      </c>
      <c r="F80">
        <f ca="1"/>
        <v>99.676680324521584</v>
      </c>
      <c r="G80">
        <f ca="1"/>
        <v>68.660468274374878</v>
      </c>
      <c r="H80">
        <f ca="1"/>
        <v>87.202513759743624</v>
      </c>
      <c r="J80">
        <f t="shared" ca="1" si="6"/>
        <v>98.87726330276999</v>
      </c>
      <c r="K80">
        <f t="shared" ca="1" si="7"/>
        <v>81.411696104477969</v>
      </c>
    </row>
    <row r="81" spans="2:11">
      <c r="B81">
        <v>90</v>
      </c>
      <c r="C81">
        <f t="shared" ca="1" si="5"/>
        <v>89.100212190941335</v>
      </c>
      <c r="E81">
        <f ca="1"/>
        <v>96.744043614732561</v>
      </c>
      <c r="F81">
        <f ca="1"/>
        <v>99.504950432967192</v>
      </c>
      <c r="G81">
        <f ca="1"/>
        <v>67.772815327444903</v>
      </c>
      <c r="H81">
        <f ca="1"/>
        <v>85.213700618144657</v>
      </c>
      <c r="J81">
        <f t="shared" ca="1" si="6"/>
        <v>98.642698856667678</v>
      </c>
      <c r="K81">
        <f t="shared" ca="1" si="7"/>
        <v>79.766783418823678</v>
      </c>
    </row>
    <row r="82" spans="2:11">
      <c r="B82">
        <v>95</v>
      </c>
      <c r="C82">
        <f t="shared" ca="1" si="5"/>
        <v>88.063587931766847</v>
      </c>
      <c r="E82">
        <f ca="1"/>
        <v>96.378863780709693</v>
      </c>
      <c r="F82">
        <f ca="1"/>
        <v>99.067745616251827</v>
      </c>
      <c r="G82">
        <f ca="1"/>
        <v>66.885162380514927</v>
      </c>
      <c r="H82">
        <f ca="1"/>
        <v>83.224887476545661</v>
      </c>
      <c r="J82">
        <f t="shared" ca="1" si="6"/>
        <v>98.227987973629965</v>
      </c>
      <c r="K82">
        <f t="shared" ca="1" si="7"/>
        <v>78.121870733169345</v>
      </c>
    </row>
    <row r="83" spans="2:11">
      <c r="B83">
        <v>100</v>
      </c>
      <c r="C83">
        <f t="shared" ca="1" si="5"/>
        <v>87.026963672592444</v>
      </c>
      <c r="E83">
        <f ca="1"/>
        <v>96.013683946686811</v>
      </c>
      <c r="F83">
        <f ca="1"/>
        <v>98.630540799536618</v>
      </c>
      <c r="G83">
        <f ca="1"/>
        <v>65.997509433584966</v>
      </c>
      <c r="H83">
        <f ca="1"/>
        <v>81.236074334946665</v>
      </c>
      <c r="J83">
        <f t="shared" ca="1" si="6"/>
        <v>97.813277090592351</v>
      </c>
      <c r="K83">
        <f t="shared" ca="1" si="7"/>
        <v>76.476958047515012</v>
      </c>
    </row>
    <row r="86" spans="2:11">
      <c r="C86" s="4"/>
    </row>
    <row r="87" spans="2:11">
      <c r="C87" s="4"/>
      <c r="J87" s="4"/>
      <c r="K87" s="4"/>
    </row>
  </sheetData>
  <mergeCells count="3">
    <mergeCell ref="C2:F2"/>
    <mergeCell ref="G2:J2"/>
    <mergeCell ref="K2:N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1EEC-DA5D-D741-BA9A-ECC59E058C3A}">
  <dimension ref="B2:P111"/>
  <sheetViews>
    <sheetView topLeftCell="A18" zoomScale="112" zoomScaleNormal="190" workbookViewId="0">
      <selection activeCell="M37" sqref="M37"/>
    </sheetView>
  </sheetViews>
  <sheetFormatPr defaultColWidth="11.42578125" defaultRowHeight="15"/>
  <cols>
    <col min="2" max="2" width="12" bestFit="1" customWidth="1"/>
  </cols>
  <sheetData>
    <row r="2" spans="2:16">
      <c r="B2" s="14" t="s">
        <v>5</v>
      </c>
      <c r="C2" s="27">
        <v>300</v>
      </c>
      <c r="D2" s="28"/>
      <c r="E2" s="28"/>
      <c r="F2" s="29"/>
      <c r="G2" s="27">
        <v>500</v>
      </c>
      <c r="H2" s="28"/>
      <c r="I2" s="28"/>
      <c r="J2" s="29"/>
      <c r="K2" s="27">
        <v>700</v>
      </c>
      <c r="L2" s="28"/>
      <c r="M2" s="28"/>
      <c r="N2" s="29"/>
    </row>
    <row r="3" spans="2:16">
      <c r="B3" s="15" t="s">
        <v>32</v>
      </c>
      <c r="C3" s="7">
        <v>30</v>
      </c>
      <c r="D3">
        <v>50</v>
      </c>
      <c r="E3">
        <v>70</v>
      </c>
      <c r="F3" s="8">
        <v>90</v>
      </c>
      <c r="G3" s="7">
        <v>30</v>
      </c>
      <c r="H3">
        <v>50</v>
      </c>
      <c r="I3">
        <v>70</v>
      </c>
      <c r="J3" s="8">
        <v>90</v>
      </c>
      <c r="K3" s="7">
        <v>30</v>
      </c>
      <c r="L3">
        <v>50</v>
      </c>
      <c r="M3">
        <v>70</v>
      </c>
      <c r="N3" s="8">
        <v>90</v>
      </c>
    </row>
    <row r="4" spans="2:16">
      <c r="B4" s="16" t="s">
        <v>33</v>
      </c>
      <c r="C4" s="20">
        <v>30030</v>
      </c>
      <c r="D4" s="21">
        <v>30050</v>
      </c>
      <c r="E4" s="21">
        <v>30070</v>
      </c>
      <c r="F4" s="22">
        <v>30090</v>
      </c>
      <c r="G4" s="20">
        <v>50030</v>
      </c>
      <c r="H4" s="21">
        <v>50050</v>
      </c>
      <c r="I4" s="21">
        <v>50070</v>
      </c>
      <c r="J4" s="22">
        <v>50090</v>
      </c>
      <c r="K4" s="20">
        <v>70030</v>
      </c>
      <c r="L4" s="21">
        <v>70050</v>
      </c>
      <c r="M4" s="21">
        <v>70070</v>
      </c>
      <c r="N4" s="22">
        <v>70090</v>
      </c>
      <c r="P4" s="1"/>
    </row>
    <row r="5" spans="2:16">
      <c r="B5" s="15" t="s">
        <v>9</v>
      </c>
      <c r="C5" s="7" t="s">
        <v>34</v>
      </c>
      <c r="D5" t="s">
        <v>34</v>
      </c>
      <c r="E5" t="s">
        <v>34</v>
      </c>
      <c r="F5" s="8" t="s">
        <v>34</v>
      </c>
      <c r="G5" s="7" t="s">
        <v>34</v>
      </c>
      <c r="H5" t="s">
        <v>34</v>
      </c>
      <c r="I5" t="s">
        <v>34</v>
      </c>
      <c r="J5" s="8" t="s">
        <v>34</v>
      </c>
      <c r="K5" s="7" t="s">
        <v>34</v>
      </c>
      <c r="L5" t="s">
        <v>34</v>
      </c>
      <c r="M5" t="s">
        <v>34</v>
      </c>
      <c r="N5" s="8" t="s">
        <v>34</v>
      </c>
    </row>
    <row r="6" spans="2:16">
      <c r="B6" s="16" t="s">
        <v>8</v>
      </c>
      <c r="C6" s="17" t="s">
        <v>8</v>
      </c>
      <c r="D6" s="18" t="s">
        <v>8</v>
      </c>
      <c r="E6" s="18" t="s">
        <v>8</v>
      </c>
      <c r="F6" s="19" t="s">
        <v>8</v>
      </c>
      <c r="G6" s="17" t="s">
        <v>8</v>
      </c>
      <c r="H6" s="18" t="s">
        <v>8</v>
      </c>
      <c r="I6" s="18" t="s">
        <v>8</v>
      </c>
      <c r="J6" s="19" t="s">
        <v>8</v>
      </c>
      <c r="K6" s="17" t="s">
        <v>8</v>
      </c>
      <c r="L6" s="18" t="s">
        <v>8</v>
      </c>
      <c r="M6" s="18" t="s">
        <v>8</v>
      </c>
      <c r="N6" s="19" t="s">
        <v>8</v>
      </c>
    </row>
    <row r="7" spans="2:16">
      <c r="B7" s="15">
        <v>0</v>
      </c>
      <c r="C7" s="9">
        <v>99.961038707222144</v>
      </c>
      <c r="D7" s="4">
        <v>99.979753036649171</v>
      </c>
      <c r="E7" s="4">
        <v>99.899384056486809</v>
      </c>
      <c r="F7" s="10">
        <v>99.676159845027072</v>
      </c>
      <c r="G7" s="9">
        <v>94.707745208058924</v>
      </c>
      <c r="H7" s="4">
        <v>99.918469893681532</v>
      </c>
      <c r="I7" s="4">
        <v>99.5170732189668</v>
      </c>
      <c r="J7" s="10">
        <v>98.076195062929798</v>
      </c>
      <c r="K7" s="9">
        <v>66.352670797428516</v>
      </c>
      <c r="L7" s="4">
        <v>99.872047139763723</v>
      </c>
      <c r="M7" s="4">
        <v>98.295961278302201</v>
      </c>
      <c r="N7" s="10">
        <v>98.295961278302201</v>
      </c>
    </row>
    <row r="8" spans="2:16">
      <c r="B8" s="15">
        <v>5</v>
      </c>
      <c r="C8" s="9">
        <v>99.961038707222144</v>
      </c>
      <c r="D8" s="4">
        <v>99.947070690274231</v>
      </c>
      <c r="E8" s="4">
        <v>99.856167660337221</v>
      </c>
      <c r="F8" s="10">
        <v>99.624455151304488</v>
      </c>
      <c r="G8" s="9">
        <v>94.707745208058924</v>
      </c>
      <c r="H8" s="4">
        <v>99.918469893681532</v>
      </c>
      <c r="I8" s="4">
        <v>99.263911749377243</v>
      </c>
      <c r="J8" s="10">
        <v>98.0466449996336</v>
      </c>
      <c r="K8" s="9">
        <v>64.445505441030193</v>
      </c>
      <c r="L8" s="4">
        <v>99.872047139763723</v>
      </c>
      <c r="M8" s="4">
        <v>97.737450977768646</v>
      </c>
      <c r="N8" s="10">
        <v>97.737450977768646</v>
      </c>
    </row>
    <row r="9" spans="2:16">
      <c r="B9" s="15">
        <v>10</v>
      </c>
      <c r="C9" s="9">
        <v>99.961038707222144</v>
      </c>
      <c r="D9" s="4">
        <v>99.91438834389929</v>
      </c>
      <c r="E9" s="4">
        <v>99.812951264187632</v>
      </c>
      <c r="F9" s="10">
        <v>99.572750457581904</v>
      </c>
      <c r="G9" s="9">
        <v>94.707745208058924</v>
      </c>
      <c r="H9" s="4">
        <v>99.596639977267174</v>
      </c>
      <c r="I9" s="4">
        <v>99.010750279787686</v>
      </c>
      <c r="J9" s="10">
        <v>98.017094936337401</v>
      </c>
      <c r="K9" s="9">
        <v>62.538340084631869</v>
      </c>
      <c r="L9" s="4">
        <v>97.259133569443321</v>
      </c>
      <c r="M9" s="4">
        <v>97.17894067723509</v>
      </c>
      <c r="N9" s="10">
        <v>97.17894067723509</v>
      </c>
    </row>
    <row r="10" spans="2:16">
      <c r="B10" s="15">
        <v>15</v>
      </c>
      <c r="C10" s="9">
        <v>99.961038707222144</v>
      </c>
      <c r="D10" s="4">
        <v>99.881705997524321</v>
      </c>
      <c r="E10" s="4">
        <v>99.769734868038384</v>
      </c>
      <c r="F10" s="10">
        <v>99.521045763859519</v>
      </c>
      <c r="G10" s="9">
        <v>94.707745208058924</v>
      </c>
      <c r="H10" s="4">
        <v>99.274810060852872</v>
      </c>
      <c r="I10" s="4">
        <v>98.757588810198101</v>
      </c>
      <c r="J10" s="10">
        <v>97.987544873041188</v>
      </c>
      <c r="K10" s="9">
        <v>60.631174728233546</v>
      </c>
      <c r="L10" s="4">
        <v>94.64621999912292</v>
      </c>
      <c r="M10" s="4">
        <v>96.620430376701506</v>
      </c>
      <c r="N10" s="10">
        <v>96.620430376701506</v>
      </c>
    </row>
    <row r="11" spans="2:16">
      <c r="B11" s="15">
        <v>20</v>
      </c>
      <c r="C11" s="9">
        <v>99.961038707222144</v>
      </c>
      <c r="D11" s="4">
        <v>99.849023651149352</v>
      </c>
      <c r="E11" s="4">
        <v>99.726518471889136</v>
      </c>
      <c r="F11" s="10">
        <v>99.469341070137133</v>
      </c>
      <c r="G11" s="9">
        <v>91.765485303369644</v>
      </c>
      <c r="H11" s="4">
        <v>98.952980144438584</v>
      </c>
      <c r="I11" s="4">
        <v>98.504427340608501</v>
      </c>
      <c r="J11" s="10">
        <v>97.957994809744989</v>
      </c>
      <c r="K11" s="9">
        <v>58.551350266455607</v>
      </c>
      <c r="L11" s="4">
        <v>92.033306428802504</v>
      </c>
      <c r="M11" s="4">
        <v>96.061920076167908</v>
      </c>
      <c r="N11" s="10">
        <v>96.061920076167908</v>
      </c>
    </row>
    <row r="12" spans="2:16">
      <c r="B12" s="15">
        <v>25</v>
      </c>
      <c r="C12" s="9">
        <v>99.961038707222144</v>
      </c>
      <c r="D12" s="4">
        <v>99.816341304774383</v>
      </c>
      <c r="E12" s="4">
        <v>99.683302075739903</v>
      </c>
      <c r="F12" s="10">
        <v>99.417636376414748</v>
      </c>
      <c r="G12" s="9">
        <v>87.585627232275556</v>
      </c>
      <c r="H12" s="4">
        <v>98.631150228024282</v>
      </c>
      <c r="I12" s="4">
        <v>98.251265871018902</v>
      </c>
      <c r="J12" s="10">
        <v>97.928444746448776</v>
      </c>
      <c r="K12" s="9">
        <v>56.213649957529924</v>
      </c>
      <c r="L12" s="4">
        <v>89.444935965718315</v>
      </c>
      <c r="M12" s="4">
        <v>95.50340977563431</v>
      </c>
      <c r="N12" s="10">
        <v>95.50340977563431</v>
      </c>
    </row>
    <row r="13" spans="2:16">
      <c r="B13" s="15">
        <v>30</v>
      </c>
      <c r="C13" s="9">
        <v>99.961038707222144</v>
      </c>
      <c r="D13" s="4">
        <v>99.783658958399414</v>
      </c>
      <c r="E13" s="4">
        <v>99.640085679590669</v>
      </c>
      <c r="F13" s="10">
        <v>99.365931682692377</v>
      </c>
      <c r="G13" s="9">
        <v>83.405769161181453</v>
      </c>
      <c r="H13" s="4">
        <v>98.309320311609994</v>
      </c>
      <c r="I13" s="4">
        <v>97.998174474519246</v>
      </c>
      <c r="J13" s="10">
        <v>97.898894683152577</v>
      </c>
      <c r="K13" s="9">
        <v>53.875949648604248</v>
      </c>
      <c r="L13" s="4">
        <v>86.860070870656898</v>
      </c>
      <c r="M13" s="4">
        <v>94.944899475100712</v>
      </c>
      <c r="N13" s="10">
        <v>94.944899475100712</v>
      </c>
    </row>
    <row r="14" spans="2:16">
      <c r="B14" s="15">
        <v>35</v>
      </c>
      <c r="C14" s="9">
        <v>99.961038707222144</v>
      </c>
      <c r="D14" s="4">
        <v>99.769544293015898</v>
      </c>
      <c r="E14" s="4">
        <v>99.619838853336461</v>
      </c>
      <c r="F14" s="10">
        <v>99.357294819862531</v>
      </c>
      <c r="G14" s="9">
        <v>81.609673525549411</v>
      </c>
      <c r="H14" s="4">
        <v>98.144980062165786</v>
      </c>
      <c r="I14" s="4">
        <v>97.938315096525571</v>
      </c>
      <c r="J14" s="10">
        <v>97.865607836042699</v>
      </c>
      <c r="K14" s="9">
        <v>51.538249339678572</v>
      </c>
      <c r="L14" s="4">
        <v>84.565041072563574</v>
      </c>
      <c r="M14" s="4">
        <v>94.187382562077062</v>
      </c>
      <c r="N14" s="10">
        <v>94.187382562077062</v>
      </c>
    </row>
    <row r="15" spans="2:16">
      <c r="B15" s="15">
        <v>40</v>
      </c>
      <c r="C15" s="9">
        <v>99.850498821287928</v>
      </c>
      <c r="D15" s="4">
        <v>99.763038292677294</v>
      </c>
      <c r="E15" s="4">
        <v>99.599831695653279</v>
      </c>
      <c r="F15" s="10">
        <v>99.354690577887197</v>
      </c>
      <c r="G15" s="9">
        <v>79.973569359920887</v>
      </c>
      <c r="H15" s="4">
        <v>98.006363392161944</v>
      </c>
      <c r="I15" s="4">
        <v>97.878472282548884</v>
      </c>
      <c r="J15" s="10">
        <v>97.83185798122966</v>
      </c>
      <c r="K15" s="9">
        <v>50.936870109906991</v>
      </c>
      <c r="L15" s="4">
        <v>82.287920355286062</v>
      </c>
      <c r="M15" s="4">
        <v>93.198929224259089</v>
      </c>
      <c r="N15" s="10">
        <v>93.198929224259089</v>
      </c>
    </row>
    <row r="16" spans="2:16">
      <c r="B16" s="15">
        <v>45</v>
      </c>
      <c r="C16" s="9">
        <v>99.739958935353712</v>
      </c>
      <c r="D16" s="4">
        <v>99.75653229233869</v>
      </c>
      <c r="E16" s="4">
        <v>99.579824537970097</v>
      </c>
      <c r="F16" s="10">
        <v>99.352086335911864</v>
      </c>
      <c r="G16" s="9">
        <v>78.337465194292349</v>
      </c>
      <c r="H16" s="4">
        <v>97.492173449111505</v>
      </c>
      <c r="I16" s="4">
        <v>97.818629468572198</v>
      </c>
      <c r="J16" s="10">
        <v>97.798108126416622</v>
      </c>
      <c r="K16" s="9">
        <v>50.501930983249025</v>
      </c>
      <c r="L16" s="4">
        <v>79.716375113812745</v>
      </c>
      <c r="M16" s="4">
        <v>92.210475886441117</v>
      </c>
      <c r="N16" s="10">
        <v>92.210475886441117</v>
      </c>
    </row>
    <row r="17" spans="2:14">
      <c r="B17" s="15">
        <v>50</v>
      </c>
      <c r="C17" s="9">
        <v>99.594381730503585</v>
      </c>
      <c r="D17" s="4">
        <v>99.750026292000086</v>
      </c>
      <c r="E17" s="4">
        <v>99.559817380286901</v>
      </c>
      <c r="F17" s="10">
        <v>99.34948209393653</v>
      </c>
      <c r="G17" s="9">
        <v>76.701361028663825</v>
      </c>
      <c r="H17" s="4">
        <v>97.086099927962948</v>
      </c>
      <c r="I17" s="4">
        <v>97.758786654595525</v>
      </c>
      <c r="J17" s="10">
        <v>97.764358271603598</v>
      </c>
      <c r="K17" s="9">
        <v>50.066991856591066</v>
      </c>
      <c r="L17" s="4">
        <v>77.122393639543347</v>
      </c>
      <c r="M17" s="4">
        <v>91.222022548623144</v>
      </c>
      <c r="N17" s="10">
        <v>91.222022548623144</v>
      </c>
    </row>
    <row r="18" spans="2:14">
      <c r="B18" s="15">
        <v>55</v>
      </c>
      <c r="C18" s="9">
        <v>99.258528682580263</v>
      </c>
      <c r="D18" s="4">
        <v>99.789819666934605</v>
      </c>
      <c r="E18" s="4">
        <v>99.611646012157394</v>
      </c>
      <c r="F18" s="10">
        <v>99.435102357033259</v>
      </c>
      <c r="G18" s="9">
        <v>75.453596578272865</v>
      </c>
      <c r="H18" s="4">
        <v>97.227519825837163</v>
      </c>
      <c r="I18" s="4">
        <v>97.639966100218885</v>
      </c>
      <c r="J18" s="10">
        <v>97.663705392205955</v>
      </c>
      <c r="K18" s="9">
        <v>49.235796241336885</v>
      </c>
      <c r="L18" s="4">
        <v>75.015396552195028</v>
      </c>
      <c r="M18" s="4">
        <v>89.846903841754056</v>
      </c>
      <c r="N18" s="10">
        <v>89.846903841754056</v>
      </c>
    </row>
    <row r="19" spans="2:14">
      <c r="B19" s="15">
        <v>60</v>
      </c>
      <c r="C19" s="9">
        <v>98.92267563465694</v>
      </c>
      <c r="D19" s="4">
        <v>99.839557427290828</v>
      </c>
      <c r="E19" s="4">
        <v>99.664434669158396</v>
      </c>
      <c r="F19" s="10">
        <v>99.52474449902509</v>
      </c>
      <c r="G19" s="9">
        <v>74.217055925581789</v>
      </c>
      <c r="H19" s="4">
        <v>95.430781217608114</v>
      </c>
      <c r="I19" s="4">
        <v>97.522676144571321</v>
      </c>
      <c r="J19" s="10">
        <v>97.557735625909487</v>
      </c>
      <c r="K19" s="9">
        <v>48.031980675794074</v>
      </c>
      <c r="L19" s="4">
        <v>73.042120516295512</v>
      </c>
      <c r="M19" s="4">
        <v>88.073262641719978</v>
      </c>
      <c r="N19" s="10">
        <v>88.073262641719978</v>
      </c>
    </row>
    <row r="20" spans="2:14">
      <c r="B20" s="15">
        <v>65</v>
      </c>
      <c r="C20" s="9">
        <v>98.567693225326451</v>
      </c>
      <c r="D20" s="4">
        <v>99.871622328734006</v>
      </c>
      <c r="E20" s="4">
        <v>99.671447109955864</v>
      </c>
      <c r="F20" s="10">
        <v>99.490050599816058</v>
      </c>
      <c r="G20" s="9">
        <v>73.001850880891794</v>
      </c>
      <c r="H20" s="4">
        <v>94.141347469602636</v>
      </c>
      <c r="I20" s="4">
        <v>97.426552312008837</v>
      </c>
      <c r="J20" s="10">
        <v>97.580333510757825</v>
      </c>
      <c r="K20" s="9">
        <v>47.240850808234768</v>
      </c>
      <c r="L20" s="4">
        <v>71.45169305292886</v>
      </c>
      <c r="M20" s="4">
        <v>87.305851792573591</v>
      </c>
      <c r="N20" s="10">
        <v>87.305851792573591</v>
      </c>
    </row>
    <row r="21" spans="2:14">
      <c r="B21" s="15">
        <v>70</v>
      </c>
      <c r="C21" s="9">
        <v>98.2121769476243</v>
      </c>
      <c r="D21" s="4">
        <v>99.901761581352858</v>
      </c>
      <c r="E21" s="4">
        <v>99.678459550753331</v>
      </c>
      <c r="F21" s="10">
        <v>99.44640002899969</v>
      </c>
      <c r="G21" s="9">
        <v>71.789094521223973</v>
      </c>
      <c r="H21" s="4">
        <v>92.837129023321808</v>
      </c>
      <c r="I21" s="4">
        <v>97.330428479446354</v>
      </c>
      <c r="J21" s="10">
        <v>97.611409463257203</v>
      </c>
      <c r="K21" s="9">
        <v>47.255360043915893</v>
      </c>
      <c r="L21" s="4">
        <v>70.058184441625727</v>
      </c>
      <c r="M21" s="4">
        <v>86.869793161769877</v>
      </c>
      <c r="N21" s="10">
        <v>86.869793161769877</v>
      </c>
    </row>
    <row r="22" spans="2:14">
      <c r="B22" s="15">
        <v>75</v>
      </c>
      <c r="C22" s="9">
        <v>97.853962764986377</v>
      </c>
      <c r="D22" s="4">
        <v>99.878768439151415</v>
      </c>
      <c r="E22" s="4">
        <v>99.704992063204983</v>
      </c>
      <c r="F22" s="10">
        <v>99.501409947352371</v>
      </c>
      <c r="G22" s="9">
        <v>70.642320141862399</v>
      </c>
      <c r="H22" s="4">
        <v>91.012597676020931</v>
      </c>
      <c r="I22" s="4">
        <v>97.059441070462455</v>
      </c>
      <c r="J22" s="10">
        <v>97.593789415837449</v>
      </c>
      <c r="K22" s="9">
        <v>46.639072505591258</v>
      </c>
      <c r="L22" s="4">
        <v>68.827685631065549</v>
      </c>
      <c r="M22" s="4">
        <v>86.120906396405331</v>
      </c>
      <c r="N22" s="10">
        <v>86.120906396405331</v>
      </c>
    </row>
    <row r="23" spans="2:14">
      <c r="B23" s="15">
        <v>80</v>
      </c>
      <c r="C23" s="9">
        <v>97.493136133269388</v>
      </c>
      <c r="D23" s="4">
        <v>99.847550169535822</v>
      </c>
      <c r="E23" s="4">
        <v>99.742394628714806</v>
      </c>
      <c r="F23" s="10">
        <v>99.556419865705053</v>
      </c>
      <c r="G23" s="9">
        <v>69.575361085914636</v>
      </c>
      <c r="H23" s="4">
        <v>89.188066328720055</v>
      </c>
      <c r="I23" s="4">
        <v>96.782291321859944</v>
      </c>
      <c r="J23" s="10">
        <v>97.569076246100252</v>
      </c>
      <c r="K23" s="9">
        <v>45.74749083173316</v>
      </c>
      <c r="L23" s="4">
        <v>67.716909575163967</v>
      </c>
      <c r="M23" s="4">
        <v>85.28137423368652</v>
      </c>
      <c r="N23" s="10">
        <v>85.28137423368652</v>
      </c>
    </row>
    <row r="24" spans="2:14">
      <c r="B24" s="15">
        <v>85</v>
      </c>
      <c r="C24" s="9">
        <v>97.116968093621395</v>
      </c>
      <c r="D24" s="4">
        <v>99.676680324521584</v>
      </c>
      <c r="E24" s="4">
        <v>99.739983694897006</v>
      </c>
      <c r="F24" s="10">
        <v>99.573869696116816</v>
      </c>
      <c r="G24" s="9">
        <v>68.660468274374878</v>
      </c>
      <c r="H24" s="4">
        <v>87.202513759743624</v>
      </c>
      <c r="I24" s="4">
        <v>96.581273335887431</v>
      </c>
      <c r="J24" s="10">
        <v>97.502285247463035</v>
      </c>
      <c r="K24" s="9">
        <v>44.761220922572996</v>
      </c>
      <c r="L24" s="4">
        <v>66.798403350014809</v>
      </c>
      <c r="M24" s="4">
        <v>84.373356140834986</v>
      </c>
      <c r="N24" s="10">
        <v>84.373356140834986</v>
      </c>
    </row>
    <row r="25" spans="2:14">
      <c r="B25" s="15">
        <v>90</v>
      </c>
      <c r="C25" s="9">
        <v>96.744043614732561</v>
      </c>
      <c r="D25" s="4">
        <v>99.504950432967192</v>
      </c>
      <c r="E25" s="4">
        <v>99.72693576972739</v>
      </c>
      <c r="F25" s="10">
        <v>99.587210119710164</v>
      </c>
      <c r="G25" s="9">
        <v>67.772815327444903</v>
      </c>
      <c r="H25" s="4">
        <v>85.213700618144657</v>
      </c>
      <c r="I25" s="4">
        <v>96.411781461697643</v>
      </c>
      <c r="J25" s="10">
        <v>97.434528366707383</v>
      </c>
      <c r="K25" s="9">
        <v>43.774951013412831</v>
      </c>
      <c r="L25" s="4">
        <v>65.911378413978213</v>
      </c>
      <c r="M25" s="4">
        <v>83.443260946977887</v>
      </c>
      <c r="N25" s="10">
        <v>83.443260946977887</v>
      </c>
    </row>
    <row r="26" spans="2:14">
      <c r="B26" s="15">
        <v>95</v>
      </c>
      <c r="C26" s="9">
        <v>96.378863780709693</v>
      </c>
      <c r="D26" s="4">
        <v>99.067745616251827</v>
      </c>
      <c r="E26" s="4">
        <v>99.443815076536211</v>
      </c>
      <c r="F26" s="10">
        <v>99.448886663338882</v>
      </c>
      <c r="G26" s="9">
        <v>66.885162380514927</v>
      </c>
      <c r="H26" s="4">
        <v>83.224887476545661</v>
      </c>
      <c r="I26" s="4">
        <v>96.35240938257283</v>
      </c>
      <c r="J26" s="10">
        <v>97.257526214583223</v>
      </c>
      <c r="K26" s="9">
        <v>42.788681104252667</v>
      </c>
      <c r="L26" s="4">
        <v>65.024353477941716</v>
      </c>
      <c r="M26" s="4">
        <v>82.51316575312083</v>
      </c>
      <c r="N26" s="10">
        <v>82.51316575312083</v>
      </c>
    </row>
    <row r="27" spans="2:14">
      <c r="B27" s="16">
        <v>100</v>
      </c>
      <c r="C27" s="11">
        <v>96.013683946686811</v>
      </c>
      <c r="D27" s="12">
        <v>98.630540799536618</v>
      </c>
      <c r="E27" s="12">
        <v>99.115106544792184</v>
      </c>
      <c r="F27" s="13">
        <v>99.251178325633788</v>
      </c>
      <c r="G27" s="11">
        <v>65.997509433584966</v>
      </c>
      <c r="H27" s="12">
        <v>81.236074334946665</v>
      </c>
      <c r="I27" s="12">
        <v>96.293037303447989</v>
      </c>
      <c r="J27" s="13">
        <v>97.069523081100584</v>
      </c>
      <c r="K27" s="11">
        <v>41.802411195092503</v>
      </c>
      <c r="L27" s="12">
        <v>64.137328541905219</v>
      </c>
      <c r="M27" s="12">
        <v>81.583070559263774</v>
      </c>
      <c r="N27" s="13">
        <v>81.583070559263774</v>
      </c>
    </row>
    <row r="30" spans="2:14">
      <c r="B30" t="s">
        <v>5</v>
      </c>
      <c r="C30" s="4">
        <f>'Tapping design'!E84</f>
        <v>650</v>
      </c>
      <c r="E30">
        <f>IF(AND(0&lt;=C30,C30&lt;=$C$2),$C$2,IF(AND(0&lt;C30,C30&lt;=$G$2),$C$2,IF(AND($G$2&lt;C30,C30&lt;=$K$2),$G$2,IF($K$2&lt;C30,$K$2,"false"))))</f>
        <v>500</v>
      </c>
      <c r="F30">
        <f>IF(AND(0&lt;=C30,C30&lt;=$C$2),$C$2,IF(AND(0&lt;C30,C30&lt;=$G$2),$C$2,IF(AND($G$2&lt;C30,C30&lt;=$K$2),$G$2,IF($K$2&lt;C30,$K$2,"false"))))</f>
        <v>500</v>
      </c>
      <c r="G30">
        <f>IF(AND(0&lt;=C30,C30&lt;=$C$2),$C$2,IF(AND($C$2&lt;C30,C30&lt;=$G$2),$G$2,IF(AND($G$2&lt;C30,C30&lt;=$K$2),$K$2,IF($K$2&lt;C30,$K$2,"false"))))</f>
        <v>700</v>
      </c>
      <c r="H30">
        <f>IF(AND(0&lt;=C30,C30&lt;=$C$2),$C$2,IF(AND($C$2&lt;C30,C30&lt;=$G$2),$G$2,IF(AND($G$2&lt;C30,C30&lt;=$K$2),$K$2,IF($K$2&lt;C30,$K$2,"false"))))</f>
        <v>700</v>
      </c>
      <c r="J30">
        <f>F30</f>
        <v>500</v>
      </c>
      <c r="K30">
        <f>H30</f>
        <v>700</v>
      </c>
    </row>
    <row r="31" spans="2:14">
      <c r="B31" t="s">
        <v>32</v>
      </c>
      <c r="C31" s="4">
        <f>'Tapping design'!E85</f>
        <v>60</v>
      </c>
      <c r="E31">
        <f>IF(AND(0&lt;=C31,C31&lt;=$C$3),$C$3,IF(AND($C$3&lt;C31,C31&lt;=$D$3),$C$3,IF(AND($D$3&lt;C31,C31&lt;=$E$3),$D$3,IF(AND($E$3&lt;C31,C31&lt;=$F$3),$E$3,IF($F$3&lt;C31,$F$3,"false")))))</f>
        <v>50</v>
      </c>
      <c r="F31">
        <f>IF(AND(0&lt;=C31,C31&lt;=$C$3),$C$3,IF(AND($C$3&lt;C31,C31&lt;=$D$3),$D$3,IF(AND($D$3&lt;C31,C31&lt;=$E$3),$E$3,IF(AND($E$3&lt;C31,C31&lt;=$F$3),$F$3,IF($F$3&lt;C31,$F$3,"false")))))</f>
        <v>70</v>
      </c>
      <c r="G31">
        <f>IF(AND(0&lt;=C31,C31&lt;=$C$3),$C$3,IF(AND($C$3&lt;C31,C31&lt;=$D$3),$C$3,IF(AND($D$3&lt;C31,C31&lt;=$E$3),$D$3,IF(AND($E$3&lt;C31,C31&lt;=$F$3),$E$3,IF($F$3&lt;C31,$F$3,"false")))))</f>
        <v>50</v>
      </c>
      <c r="H31">
        <f>IF(AND(0&lt;=C31,C31&lt;=$C$3),$C$3,IF(AND($C$3&lt;C31,C31&lt;=$D$3),$D$3,IF(AND($D$3&lt;C31,C31&lt;=$E$3),$E$3,IF(AND($E$3&lt;C31,C31&lt;=$F$3),$F$3,IF($F$3&lt;C31,$F$3,"false")))))</f>
        <v>70</v>
      </c>
      <c r="J31" s="4">
        <f>C31</f>
        <v>60</v>
      </c>
      <c r="K31" s="4">
        <f>C31</f>
        <v>60</v>
      </c>
    </row>
    <row r="32" spans="2:14">
      <c r="B32" t="s">
        <v>33</v>
      </c>
      <c r="E32">
        <f>(E30*100)+E31</f>
        <v>50050</v>
      </c>
      <c r="F32">
        <f t="shared" ref="F32:H32" si="0">(F30*100)+F31</f>
        <v>50070</v>
      </c>
      <c r="G32">
        <f t="shared" si="0"/>
        <v>70050</v>
      </c>
      <c r="H32">
        <f t="shared" si="0"/>
        <v>70070</v>
      </c>
    </row>
    <row r="33" spans="2:11">
      <c r="B33" t="s">
        <v>9</v>
      </c>
      <c r="C33" t="s">
        <v>34</v>
      </c>
      <c r="E33" t="s">
        <v>34</v>
      </c>
      <c r="F33" t="s">
        <v>34</v>
      </c>
      <c r="G33" t="s">
        <v>34</v>
      </c>
      <c r="H33" t="s">
        <v>34</v>
      </c>
      <c r="J33" t="s">
        <v>34</v>
      </c>
      <c r="K33" t="s">
        <v>34</v>
      </c>
    </row>
    <row r="34" spans="2:11">
      <c r="B34" t="s">
        <v>8</v>
      </c>
      <c r="C34" t="s">
        <v>8</v>
      </c>
      <c r="E34" t="s">
        <v>8</v>
      </c>
      <c r="F34" t="s">
        <v>8</v>
      </c>
      <c r="G34" t="s">
        <v>8</v>
      </c>
      <c r="H34" t="s">
        <v>8</v>
      </c>
      <c r="J34" t="s">
        <v>8</v>
      </c>
      <c r="K34" t="s">
        <v>8</v>
      </c>
    </row>
    <row r="35" spans="2:11">
      <c r="B35">
        <v>0</v>
      </c>
      <c r="C35">
        <f ca="1">IF($C$30=$K$30,K35,IF($C$30=$J$30,J35,FORECAST($C$30,OFFSET(J35:K35,0,MATCH($C$30,$J$30:$K$30,1)-1,1,2),OFFSET($J$30:$K$30,0,MATCH($C$30,$J$30:$K$30,1)-1,1,2))))</f>
        <v>99.242446045855772</v>
      </c>
      <c r="E35" cm="1">
        <f t="array" ref="E35:E55">(INDEX(C7:N27,0,MATCH(E32,C4:N4,0)))</f>
        <v>99.918469893681532</v>
      </c>
      <c r="F35" cm="1">
        <f t="array" ref="F35:F55">(INDEX(C7:N27,0,MATCH(F32,C4:N4,0)))</f>
        <v>99.5170732189668</v>
      </c>
      <c r="G35" cm="1">
        <f t="array" ref="G35:G55">(INDEX(C7:N27,0,MATCH(G32,C4:N4,0)))</f>
        <v>99.872047139763723</v>
      </c>
      <c r="H35" cm="1">
        <f t="array" ref="H35:H55">(INDEX(C7:N27,0,MATCH(H32,C4:N4,0)))</f>
        <v>98.295961278302201</v>
      </c>
      <c r="J35">
        <f ca="1">IF($J$31=$F$31,F35,IF($J$31=$E$31,E35,FORECAST($J$31,OFFSET(E35:F35,0,MATCH($J$31,$E$31:$F$31,1)-1,1,2),OFFSET($E$31:$F$31,0,MATCH($J$31,$E$31:$F$31,1)-1,1,2))))</f>
        <v>99.717771556324166</v>
      </c>
      <c r="K35">
        <f ca="1">IF($K$31=$H$31,H35,IF($K$31=$G$31,G35,FORECAST($K$31,OFFSET(G35:H35,0,MATCH($K$31,$G$31:$H$31,1)-1,1,2),OFFSET($G$31:$H$31,0,MATCH($K$31,$G$31:$H$31,1)-1,1,2))))</f>
        <v>99.084004209032969</v>
      </c>
    </row>
    <row r="36" spans="2:11">
      <c r="B36">
        <v>5</v>
      </c>
      <c r="C36">
        <f t="shared" ref="C36:C55" ca="1" si="1">IF($C$30=$K$30,K36,IF($C$30=$J$30,J36,FORECAST($C$30,OFFSET(J36:K36,0,MATCH($C$30,$J$30:$K$30,1)-1,1,2),OFFSET($J$30:$K$30,0,MATCH($C$30,$J$30:$K$30,1)-1,1,2))))</f>
        <v>99.001359499456981</v>
      </c>
      <c r="E36">
        <v>99.918469893681532</v>
      </c>
      <c r="F36">
        <v>99.263911749377243</v>
      </c>
      <c r="G36">
        <v>99.872047139763723</v>
      </c>
      <c r="H36">
        <v>97.737450977768646</v>
      </c>
      <c r="J36">
        <f t="shared" ref="J36:J55" ca="1" si="2">IF($J$31=$F$31,F36,IF($J$31=$E$31,E36,FORECAST($J$31,OFFSET(E36:F36,0,MATCH($J$31,$E$31:$F$31,1)-1,1,2),OFFSET($E$31:$F$31,0,MATCH($J$31,$E$31:$F$31,1)-1,1,2))))</f>
        <v>99.591190821529381</v>
      </c>
      <c r="K36">
        <f t="shared" ref="K36:K55" ca="1" si="3">IF($K$31=$H$31,H36,IF($K$31=$G$31,G36,FORECAST($K$31,OFFSET(G36:H36,0,MATCH($K$31,$G$31:$H$31,1)-1,1,2),OFFSET($G$31:$H$31,0,MATCH($K$31,$G$31:$H$31,1)-1,1,2))))</f>
        <v>98.804749058766191</v>
      </c>
    </row>
    <row r="37" spans="2:11">
      <c r="B37">
        <v>10</v>
      </c>
      <c r="C37">
        <f t="shared" ca="1" si="1"/>
        <v>97.740201624636256</v>
      </c>
      <c r="E37">
        <v>99.596639977267174</v>
      </c>
      <c r="F37">
        <v>99.010750279787686</v>
      </c>
      <c r="G37">
        <v>97.259133569443321</v>
      </c>
      <c r="H37">
        <v>97.17894067723509</v>
      </c>
      <c r="J37">
        <f t="shared" ca="1" si="2"/>
        <v>99.303695128527437</v>
      </c>
      <c r="K37">
        <f t="shared" ca="1" si="3"/>
        <v>97.219037123339206</v>
      </c>
    </row>
    <row r="38" spans="2:11">
      <c r="B38">
        <v>15</v>
      </c>
      <c r="C38">
        <f t="shared" ca="1" si="1"/>
        <v>96.479043749815531</v>
      </c>
      <c r="E38">
        <v>99.274810060852872</v>
      </c>
      <c r="F38">
        <v>98.757588810198101</v>
      </c>
      <c r="G38">
        <v>94.64621999912292</v>
      </c>
      <c r="H38">
        <v>96.620430376701506</v>
      </c>
      <c r="J38">
        <f t="shared" ca="1" si="2"/>
        <v>99.016199435525493</v>
      </c>
      <c r="K38">
        <f t="shared" ca="1" si="3"/>
        <v>95.63332518791222</v>
      </c>
    </row>
    <row r="39" spans="2:11">
      <c r="B39">
        <v>20</v>
      </c>
      <c r="C39">
        <f t="shared" ca="1" si="1"/>
        <v>95.217885874994792</v>
      </c>
      <c r="E39">
        <v>98.952980144438584</v>
      </c>
      <c r="F39">
        <v>98.504427340608501</v>
      </c>
      <c r="G39">
        <v>92.033306428802504</v>
      </c>
      <c r="H39">
        <v>96.061920076167908</v>
      </c>
      <c r="J39">
        <f t="shared" ca="1" si="2"/>
        <v>98.72870374252355</v>
      </c>
      <c r="K39">
        <f t="shared" ca="1" si="3"/>
        <v>94.047613252485206</v>
      </c>
    </row>
    <row r="40" spans="2:11">
      <c r="B40">
        <v>25</v>
      </c>
      <c r="C40">
        <f t="shared" ca="1" si="1"/>
        <v>93.965931665387629</v>
      </c>
      <c r="E40">
        <v>98.631150228024282</v>
      </c>
      <c r="F40">
        <v>98.251265871018902</v>
      </c>
      <c r="G40">
        <v>89.444935965718315</v>
      </c>
      <c r="H40">
        <v>95.50340977563431</v>
      </c>
      <c r="J40">
        <f t="shared" ca="1" si="2"/>
        <v>98.441208049521592</v>
      </c>
      <c r="K40">
        <f t="shared" ca="1" si="3"/>
        <v>92.474172870676313</v>
      </c>
    </row>
    <row r="41" spans="2:11">
      <c r="B41">
        <v>30</v>
      </c>
      <c r="C41">
        <f t="shared" ca="1" si="1"/>
        <v>92.715300727925268</v>
      </c>
      <c r="E41">
        <v>98.309320311609994</v>
      </c>
      <c r="F41">
        <v>97.998174474519246</v>
      </c>
      <c r="G41">
        <v>86.860070870656898</v>
      </c>
      <c r="H41">
        <v>94.944899475100712</v>
      </c>
      <c r="J41">
        <f t="shared" ca="1" si="2"/>
        <v>98.15374739306462</v>
      </c>
      <c r="K41">
        <f t="shared" ca="1" si="3"/>
        <v>90.902485172878812</v>
      </c>
    </row>
    <row r="42" spans="2:11">
      <c r="B42">
        <v>35</v>
      </c>
      <c r="C42">
        <f t="shared" ca="1" si="1"/>
        <v>91.542570757826667</v>
      </c>
      <c r="E42">
        <v>98.144980062165786</v>
      </c>
      <c r="F42">
        <v>97.938315096525571</v>
      </c>
      <c r="G42">
        <v>84.565041072563574</v>
      </c>
      <c r="H42">
        <v>94.187382562077062</v>
      </c>
      <c r="J42">
        <f t="shared" ca="1" si="2"/>
        <v>98.041647579345678</v>
      </c>
      <c r="K42">
        <f t="shared" ca="1" si="3"/>
        <v>89.376211817320325</v>
      </c>
    </row>
    <row r="43" spans="2:11">
      <c r="B43">
        <v>40</v>
      </c>
      <c r="C43">
        <f t="shared" ca="1" si="1"/>
        <v>90.293173051668276</v>
      </c>
      <c r="E43">
        <v>98.006363392161944</v>
      </c>
      <c r="F43">
        <v>97.878472282548884</v>
      </c>
      <c r="G43">
        <v>82.287920355286062</v>
      </c>
      <c r="H43">
        <v>93.198929224259089</v>
      </c>
      <c r="J43">
        <f t="shared" ca="1" si="2"/>
        <v>97.942417837355407</v>
      </c>
      <c r="K43">
        <f t="shared" ca="1" si="3"/>
        <v>87.743424789772575</v>
      </c>
    </row>
    <row r="44" spans="2:11">
      <c r="B44">
        <v>45</v>
      </c>
      <c r="C44">
        <f t="shared" ca="1" si="1"/>
        <v>88.886419489805661</v>
      </c>
      <c r="E44">
        <v>97.492173449111505</v>
      </c>
      <c r="F44">
        <v>97.818629468572198</v>
      </c>
      <c r="G44">
        <v>79.716375113812745</v>
      </c>
      <c r="H44">
        <v>92.210475886441117</v>
      </c>
      <c r="J44">
        <f t="shared" ca="1" si="2"/>
        <v>97.655401458841851</v>
      </c>
      <c r="K44">
        <f t="shared" ca="1" si="3"/>
        <v>85.963425500126931</v>
      </c>
    </row>
    <row r="45" spans="2:11">
      <c r="B45">
        <v>50</v>
      </c>
      <c r="C45">
        <f t="shared" ca="1" si="1"/>
        <v>87.484766893382229</v>
      </c>
      <c r="E45">
        <v>97.086099927962948</v>
      </c>
      <c r="F45">
        <v>97.758786654595525</v>
      </c>
      <c r="G45">
        <v>77.122393639543347</v>
      </c>
      <c r="H45">
        <v>91.222022548623144</v>
      </c>
      <c r="J45">
        <f t="shared" ca="1" si="2"/>
        <v>97.422443291279237</v>
      </c>
      <c r="K45">
        <f t="shared" ca="1" si="3"/>
        <v>84.172208094083246</v>
      </c>
    </row>
    <row r="46" spans="2:11">
      <c r="B46">
        <v>55</v>
      </c>
      <c r="C46">
        <f t="shared" ca="1" si="1"/>
        <v>86.18179838848792</v>
      </c>
      <c r="E46">
        <v>97.227519825837163</v>
      </c>
      <c r="F46">
        <v>97.639966100218885</v>
      </c>
      <c r="G46">
        <v>75.015396552195028</v>
      </c>
      <c r="H46">
        <v>89.846903841754056</v>
      </c>
      <c r="J46">
        <f t="shared" ca="1" si="2"/>
        <v>97.433742963028024</v>
      </c>
      <c r="K46">
        <f t="shared" ca="1" si="3"/>
        <v>82.431150196974542</v>
      </c>
    </row>
    <row r="47" spans="2:11">
      <c r="B47">
        <v>60</v>
      </c>
      <c r="C47">
        <f t="shared" ca="1" si="1"/>
        <v>84.537450854528245</v>
      </c>
      <c r="E47">
        <v>95.430781217608114</v>
      </c>
      <c r="F47">
        <v>97.522676144571321</v>
      </c>
      <c r="G47">
        <v>73.042120516295512</v>
      </c>
      <c r="H47">
        <v>88.073262641719978</v>
      </c>
      <c r="J47">
        <f t="shared" ca="1" si="2"/>
        <v>96.476728681089725</v>
      </c>
      <c r="K47">
        <f t="shared" ca="1" si="3"/>
        <v>80.557691579007752</v>
      </c>
    </row>
    <row r="48" spans="2:11">
      <c r="B48">
        <v>65</v>
      </c>
      <c r="C48">
        <f t="shared" ca="1" si="1"/>
        <v>83.480066789764848</v>
      </c>
      <c r="E48">
        <v>94.141347469602636</v>
      </c>
      <c r="F48">
        <v>97.426552312008837</v>
      </c>
      <c r="G48">
        <v>71.45169305292886</v>
      </c>
      <c r="H48">
        <v>87.305851792573591</v>
      </c>
      <c r="J48">
        <f t="shared" ca="1" si="2"/>
        <v>95.783949890805729</v>
      </c>
      <c r="K48">
        <f t="shared" ca="1" si="3"/>
        <v>79.378772422751226</v>
      </c>
    </row>
    <row r="49" spans="2:11">
      <c r="B49">
        <v>70</v>
      </c>
      <c r="C49">
        <f t="shared" ca="1" si="1"/>
        <v>82.618936289119375</v>
      </c>
      <c r="E49">
        <v>92.837129023321808</v>
      </c>
      <c r="F49">
        <v>97.330428479446354</v>
      </c>
      <c r="G49">
        <v>70.058184441625727</v>
      </c>
      <c r="H49">
        <v>86.869793161769877</v>
      </c>
      <c r="J49">
        <f t="shared" ca="1" si="2"/>
        <v>95.083778751384074</v>
      </c>
      <c r="K49">
        <f t="shared" ca="1" si="3"/>
        <v>78.463988801697809</v>
      </c>
    </row>
    <row r="50" spans="2:11">
      <c r="B50">
        <v>75</v>
      </c>
      <c r="C50">
        <f t="shared" ca="1" si="1"/>
        <v>81.614726853611998</v>
      </c>
      <c r="E50">
        <v>91.012597676020931</v>
      </c>
      <c r="F50">
        <v>97.059441070462455</v>
      </c>
      <c r="G50">
        <v>68.827685631065549</v>
      </c>
      <c r="H50">
        <v>86.120906396405331</v>
      </c>
      <c r="J50">
        <f t="shared" ca="1" si="2"/>
        <v>94.036019373241686</v>
      </c>
      <c r="K50">
        <f t="shared" ca="1" si="3"/>
        <v>77.47429601373544</v>
      </c>
    </row>
    <row r="51" spans="2:11">
      <c r="B51">
        <v>80</v>
      </c>
      <c r="C51">
        <f t="shared" ca="1" si="1"/>
        <v>80.620651134641435</v>
      </c>
      <c r="E51">
        <v>89.188066328720055</v>
      </c>
      <c r="F51">
        <v>96.782291321859944</v>
      </c>
      <c r="G51">
        <v>67.716909575163967</v>
      </c>
      <c r="H51">
        <v>85.28137423368652</v>
      </c>
      <c r="J51">
        <f t="shared" ca="1" si="2"/>
        <v>92.985178825290006</v>
      </c>
      <c r="K51">
        <f t="shared" ca="1" si="3"/>
        <v>76.499141904425244</v>
      </c>
    </row>
    <row r="52" spans="2:11">
      <c r="B52">
        <v>85</v>
      </c>
      <c r="C52">
        <f t="shared" ca="1" si="1"/>
        <v>79.66238319602256</v>
      </c>
      <c r="E52">
        <v>87.202513759743624</v>
      </c>
      <c r="F52">
        <v>96.581273335887431</v>
      </c>
      <c r="G52">
        <v>66.798403350014809</v>
      </c>
      <c r="H52">
        <v>84.373356140834986</v>
      </c>
      <c r="J52">
        <f t="shared" ca="1" si="2"/>
        <v>91.891893547815528</v>
      </c>
      <c r="K52">
        <f t="shared" ca="1" si="3"/>
        <v>75.585879745424904</v>
      </c>
    </row>
    <row r="53" spans="2:11">
      <c r="B53">
        <v>90</v>
      </c>
      <c r="C53">
        <f t="shared" ca="1" si="1"/>
        <v>78.711175020338814</v>
      </c>
      <c r="E53">
        <v>85.213700618144657</v>
      </c>
      <c r="F53">
        <v>96.411781461697643</v>
      </c>
      <c r="G53">
        <v>65.911378413978213</v>
      </c>
      <c r="H53">
        <v>83.443260946977887</v>
      </c>
      <c r="J53">
        <f t="shared" ca="1" si="2"/>
        <v>90.81274103992115</v>
      </c>
      <c r="K53">
        <f t="shared" ca="1" si="3"/>
        <v>74.67731968047805</v>
      </c>
    </row>
    <row r="54" spans="2:11">
      <c r="B54">
        <v>95</v>
      </c>
      <c r="C54">
        <f t="shared" ca="1" si="1"/>
        <v>77.773731819038261</v>
      </c>
      <c r="E54">
        <v>83.224887476545661</v>
      </c>
      <c r="F54">
        <v>96.35240938257283</v>
      </c>
      <c r="G54">
        <v>65.024353477941716</v>
      </c>
      <c r="H54">
        <v>82.51316575312083</v>
      </c>
      <c r="J54">
        <f t="shared" ca="1" si="2"/>
        <v>89.788648429559245</v>
      </c>
      <c r="K54">
        <f t="shared" ca="1" si="3"/>
        <v>73.76875961553128</v>
      </c>
    </row>
    <row r="55" spans="2:11">
      <c r="B55">
        <v>100</v>
      </c>
      <c r="C55">
        <f t="shared" ca="1" si="1"/>
        <v>76.836288617737694</v>
      </c>
      <c r="E55">
        <v>81.236074334946665</v>
      </c>
      <c r="F55">
        <v>96.293037303447989</v>
      </c>
      <c r="G55">
        <v>64.137328541905219</v>
      </c>
      <c r="H55">
        <v>81.583070559263774</v>
      </c>
      <c r="J55">
        <f t="shared" ca="1" si="2"/>
        <v>88.764555819197327</v>
      </c>
      <c r="K55">
        <f t="shared" ca="1" si="3"/>
        <v>72.860199550584497</v>
      </c>
    </row>
    <row r="58" spans="2:11">
      <c r="B58" t="s">
        <v>5</v>
      </c>
      <c r="C58" s="4">
        <f ca="1">'Tapping design'!I84</f>
        <v>477.22946295094488</v>
      </c>
      <c r="E58">
        <f ca="1">IF(AND(0&lt;=C58,C58&lt;=$C$2),$C$2,IF(AND(0&lt;C58,C58&lt;=$G$2),$C$2,IF(AND($G$2&lt;C58,C58&lt;=$K$2),$G$2,IF($K$2&lt;C58,$K$2,"false"))))</f>
        <v>300</v>
      </c>
      <c r="F58">
        <f ca="1">IF(AND(0&lt;=C58,C58&lt;=$C$2),$C$2,IF(AND(0&lt;C58,C58&lt;=$G$2),$C$2,IF(AND($G$2&lt;C58,C58&lt;=$K$2),$G$2,IF($K$2&lt;C58,$K$2,"false"))))</f>
        <v>300</v>
      </c>
      <c r="G58">
        <f ca="1">IF(AND(0&lt;=C58,C58&lt;=$C$2),$C$2,IF(AND($C$2&lt;C58,C58&lt;=$G$2),$G$2,IF(AND($G$2&lt;C58,C58&lt;=$K$2),$K$2,IF($K$2&lt;C58,$K$2,"false"))))</f>
        <v>500</v>
      </c>
      <c r="H58">
        <f ca="1">IF(AND(0&lt;=C58,C58&lt;=$C$2),$C$2,IF(AND($C$2&lt;C58,C58&lt;=$G$2),$G$2,IF(AND($G$2&lt;C58,C58&lt;=$K$2),$K$2,IF($K$2&lt;C58,$K$2,"false"))))</f>
        <v>500</v>
      </c>
      <c r="J58">
        <f ca="1">F58</f>
        <v>300</v>
      </c>
      <c r="K58">
        <f ca="1">H58</f>
        <v>500</v>
      </c>
    </row>
    <row r="59" spans="2:11">
      <c r="B59" t="s">
        <v>32</v>
      </c>
      <c r="C59" s="4">
        <f ca="1">'Tapping design'!I85</f>
        <v>49.03301622516404</v>
      </c>
      <c r="E59">
        <f ca="1">IF(AND(0&lt;=C59,C59&lt;=$C$3),$C$3,IF(AND($C$3&lt;C59,C59&lt;=$D$3),$C$3,IF(AND($D$3&lt;C59,C59&lt;=$E$3),$D$3,IF(AND($E$3&lt;C59,C59&lt;=$F$3),$E$3,IF($F$3&lt;C59,$F$3,"false")))))</f>
        <v>30</v>
      </c>
      <c r="F59">
        <f ca="1">IF(AND(0&lt;=C59,C59&lt;=$C$3),$C$3,IF(AND($C$3&lt;C59,C59&lt;=$D$3),$D$3,IF(AND($D$3&lt;C59,C59&lt;=$E$3),$E$3,IF(AND($E$3&lt;C59,C59&lt;=$F$3),$F$3,IF($F$3&lt;C59,$F$3,"false")))))</f>
        <v>50</v>
      </c>
      <c r="G59">
        <f ca="1">IF(AND(0&lt;=C59,C59&lt;=$C$3),$C$3,IF(AND($C$3&lt;C59,C59&lt;=$D$3),$C$3,IF(AND($D$3&lt;C59,C59&lt;=$E$3),$D$3,IF(AND($E$3&lt;C59,C59&lt;=$F$3),$E$3,IF($F$3&lt;C59,$F$3,"false")))))</f>
        <v>30</v>
      </c>
      <c r="H59">
        <f ca="1">IF(AND(0&lt;=C59,C59&lt;=$C$3),$C$3,IF(AND($C$3&lt;C59,C59&lt;=$D$3),$D$3,IF(AND($D$3&lt;C59,C59&lt;=$E$3),$E$3,IF(AND($E$3&lt;C59,C59&lt;=$F$3),$F$3,IF($F$3&lt;C59,$F$3,"false")))))</f>
        <v>50</v>
      </c>
      <c r="J59" s="4">
        <f ca="1">C59</f>
        <v>49.03301622516404</v>
      </c>
      <c r="K59" s="4">
        <f ca="1">C59</f>
        <v>49.03301622516404</v>
      </c>
    </row>
    <row r="60" spans="2:11">
      <c r="B60" t="s">
        <v>33</v>
      </c>
      <c r="E60">
        <f ca="1">(E58*100)+E59</f>
        <v>30030</v>
      </c>
      <c r="F60">
        <f t="shared" ref="F60" ca="1" si="4">(F58*100)+F59</f>
        <v>30050</v>
      </c>
      <c r="G60">
        <f t="shared" ref="G60" ca="1" si="5">(G58*100)+G59</f>
        <v>50030</v>
      </c>
      <c r="H60">
        <f t="shared" ref="H60" ca="1" si="6">(H58*100)+H59</f>
        <v>50050</v>
      </c>
    </row>
    <row r="61" spans="2:11">
      <c r="B61" t="s">
        <v>9</v>
      </c>
      <c r="C61" t="s">
        <v>34</v>
      </c>
      <c r="E61" t="s">
        <v>34</v>
      </c>
      <c r="F61" t="s">
        <v>34</v>
      </c>
      <c r="G61" t="s">
        <v>34</v>
      </c>
      <c r="H61" t="s">
        <v>34</v>
      </c>
      <c r="J61" t="s">
        <v>34</v>
      </c>
      <c r="K61" t="s">
        <v>34</v>
      </c>
    </row>
    <row r="62" spans="2:11">
      <c r="B62" t="s">
        <v>8</v>
      </c>
      <c r="C62" t="s">
        <v>8</v>
      </c>
      <c r="E62" t="s">
        <v>8</v>
      </c>
      <c r="F62" t="s">
        <v>8</v>
      </c>
      <c r="G62" t="s">
        <v>8</v>
      </c>
      <c r="H62" t="s">
        <v>8</v>
      </c>
      <c r="J62" t="s">
        <v>8</v>
      </c>
      <c r="K62" t="s">
        <v>8</v>
      </c>
    </row>
    <row r="63" spans="2:11">
      <c r="B63">
        <v>0</v>
      </c>
      <c r="C63">
        <f ca="1">IF($C$58&lt;$C$2,J63,FORECAST($C$58,OFFSET(J63:K63,0,MATCH($C$58,$J$58:$K$58,1)-1,1,2),OFFSET($J$58:$K$58,0,MATCH($C$58,$J$58:$K$58,1)-1,1,2)))</f>
        <v>99.702093214121774</v>
      </c>
      <c r="E63" cm="1">
        <f t="array" aca="1" ref="E63:E83" ca="1">(INDEX(C7:N27,0,MATCH(E60,C4:N4,0)))</f>
        <v>99.961038707222144</v>
      </c>
      <c r="F63" cm="1">
        <f t="array" aca="1" ref="F63:F83" ca="1">(INDEX(C7:N27,0,MATCH(F60,C4:N4,0)))</f>
        <v>99.979753036649171</v>
      </c>
      <c r="G63" cm="1">
        <f t="array" aca="1" ref="G63:G83" ca="1">(INDEX(C7:N27,0,MATCH(G60,C4:N4,0)))</f>
        <v>94.707745208058924</v>
      </c>
      <c r="H63" cm="1">
        <f t="array" aca="1" ref="H63:H83" ca="1">(INDEX(C7:N27,0,MATCH(H60,C4:N4,0)))</f>
        <v>99.918469893681532</v>
      </c>
      <c r="J63">
        <f ca="1">IF($J$59&lt;$C$3,E63,FORECAST($J$59,OFFSET(E63:F63,0,MATCH($J$59,$E$59:$F$59,1)-1,1,2),OFFSET($E$59:$F$59,0,MATCH($J$59,$E$59:$F$59,1)-1,1,2)))</f>
        <v>99.978848214003534</v>
      </c>
      <c r="K63">
        <f ca="1">IF($K$59&lt;$C$3,G63,FORECAST($K$59,OFFSET(G63:H63,0,MATCH($K$59,$G$59:$H$59,1)-1,1,2),OFFSET($G$59:$H$59,0,MATCH($K$59,$G$59:$H$59,1)-1,1,2)))</f>
        <v>99.66653558237482</v>
      </c>
    </row>
    <row r="64" spans="2:11">
      <c r="B64">
        <v>5</v>
      </c>
      <c r="C64">
        <f t="shared" ref="C64:C83" ca="1" si="7">IF($C$58&lt;$C$2,J64,FORECAST($C$58,OFFSET(J64:K64,0,MATCH($C$58,$J$58:$K$58,1)-1,1,2),OFFSET($J$58:$K$58,0,MATCH($C$58,$J$58:$K$58,1)-1,1,2)))</f>
        <v>99.698552147247668</v>
      </c>
      <c r="E64">
        <f ca="1"/>
        <v>99.961038707222144</v>
      </c>
      <c r="F64">
        <f ca="1"/>
        <v>99.947070690274231</v>
      </c>
      <c r="G64">
        <f ca="1"/>
        <v>94.707745208058924</v>
      </c>
      <c r="H64">
        <f ca="1"/>
        <v>99.918469893681532</v>
      </c>
      <c r="J64">
        <f t="shared" ref="J64:J83" ca="1" si="8">IF($J$59&lt;$C$3,E64,FORECAST($J$59,OFFSET(E64:F64,0,MATCH($J$59,$E$59:$F$59,1)-1,1,2),OFFSET($E$59:$F$59,0,MATCH($J$59,$E$59:$F$59,1)-1,1,2)))</f>
        <v>99.947746032561994</v>
      </c>
      <c r="K64">
        <f t="shared" ref="K64:K83" ca="1" si="9">IF($K$59&lt;$C$3,G64,FORECAST($K$59,OFFSET(G64:H64,0,MATCH($K$59,$G$59:$H$59,1)-1,1,2),OFFSET($G$59:$H$59,0,MATCH($K$59,$G$59:$H$59,1)-1,1,2)))</f>
        <v>99.66653558237482</v>
      </c>
    </row>
    <row r="65" spans="2:11">
      <c r="B65">
        <v>10</v>
      </c>
      <c r="C65">
        <f t="shared" ca="1" si="7"/>
        <v>99.423611007203675</v>
      </c>
      <c r="E65">
        <f ca="1"/>
        <v>99.961038707222144</v>
      </c>
      <c r="F65">
        <f ca="1"/>
        <v>99.91438834389929</v>
      </c>
      <c r="G65">
        <f ca="1"/>
        <v>94.707745208058924</v>
      </c>
      <c r="H65">
        <f ca="1"/>
        <v>99.596639977267174</v>
      </c>
      <c r="J65">
        <f t="shared" ca="1" si="8"/>
        <v>99.916643851120469</v>
      </c>
      <c r="K65">
        <f t="shared" ca="1" si="9"/>
        <v>99.360265881331941</v>
      </c>
    </row>
    <row r="66" spans="2:11">
      <c r="B66">
        <v>15</v>
      </c>
      <c r="C66">
        <f t="shared" ca="1" si="7"/>
        <v>99.148669867159725</v>
      </c>
      <c r="E66">
        <f ca="1"/>
        <v>99.961038707222144</v>
      </c>
      <c r="F66">
        <f ca="1"/>
        <v>99.881705997524321</v>
      </c>
      <c r="G66">
        <f ca="1"/>
        <v>94.707745208058924</v>
      </c>
      <c r="H66">
        <f ca="1"/>
        <v>99.274810060852872</v>
      </c>
      <c r="J66">
        <f t="shared" ca="1" si="8"/>
        <v>99.885541669678886</v>
      </c>
      <c r="K66">
        <f t="shared" ca="1" si="9"/>
        <v>99.053996180289104</v>
      </c>
    </row>
    <row r="67" spans="2:11">
      <c r="B67">
        <v>20</v>
      </c>
      <c r="C67">
        <f t="shared" ca="1" si="7"/>
        <v>98.747669061524917</v>
      </c>
      <c r="E67">
        <f ca="1"/>
        <v>99.961038707222144</v>
      </c>
      <c r="F67">
        <f ca="1"/>
        <v>99.849023651149352</v>
      </c>
      <c r="G67">
        <f ca="1"/>
        <v>91.765485303369644</v>
      </c>
      <c r="H67">
        <f ca="1"/>
        <v>98.952980144438584</v>
      </c>
      <c r="J67">
        <f t="shared" ca="1" si="8"/>
        <v>99.854439488237347</v>
      </c>
      <c r="K67">
        <f t="shared" ca="1" si="9"/>
        <v>98.60547059978704</v>
      </c>
    </row>
    <row r="68" spans="2:11">
      <c r="B68">
        <v>25</v>
      </c>
      <c r="C68">
        <f t="shared" ca="1" si="7"/>
        <v>98.293643976578721</v>
      </c>
      <c r="E68">
        <f ca="1"/>
        <v>99.961038707222144</v>
      </c>
      <c r="F68">
        <f ca="1"/>
        <v>99.816341304774383</v>
      </c>
      <c r="G68">
        <f ca="1"/>
        <v>87.585627232275556</v>
      </c>
      <c r="H68">
        <f ca="1"/>
        <v>98.631150228024282</v>
      </c>
      <c r="J68">
        <f t="shared" ca="1" si="8"/>
        <v>99.823337306795764</v>
      </c>
      <c r="K68">
        <f t="shared" ca="1" si="9"/>
        <v>98.097108151950962</v>
      </c>
    </row>
    <row r="69" spans="2:11">
      <c r="B69">
        <v>30</v>
      </c>
      <c r="C69">
        <f t="shared" ca="1" si="7"/>
        <v>97.83961889163254</v>
      </c>
      <c r="E69">
        <f ca="1"/>
        <v>99.961038707222144</v>
      </c>
      <c r="F69">
        <f ca="1"/>
        <v>99.783658958399414</v>
      </c>
      <c r="G69">
        <f ca="1"/>
        <v>83.405769161181453</v>
      </c>
      <c r="H69">
        <f ca="1"/>
        <v>98.309320311609994</v>
      </c>
      <c r="J69">
        <f t="shared" ca="1" si="8"/>
        <v>99.792235125354225</v>
      </c>
      <c r="K69">
        <f t="shared" ca="1" si="9"/>
        <v>97.588745704114885</v>
      </c>
    </row>
    <row r="70" spans="2:11">
      <c r="B70">
        <v>35</v>
      </c>
      <c r="C70">
        <f t="shared" ca="1" si="7"/>
        <v>97.622548175310584</v>
      </c>
      <c r="E70">
        <f ca="1"/>
        <v>99.961038707222144</v>
      </c>
      <c r="F70">
        <f ca="1"/>
        <v>99.769544293015898</v>
      </c>
      <c r="G70">
        <f ca="1"/>
        <v>81.609673525549411</v>
      </c>
      <c r="H70">
        <f ca="1"/>
        <v>98.144980062165786</v>
      </c>
      <c r="J70">
        <f t="shared" ca="1" si="8"/>
        <v>99.778802892591344</v>
      </c>
      <c r="K70">
        <f t="shared" ca="1" si="9"/>
        <v>97.345511405523439</v>
      </c>
    </row>
    <row r="71" spans="2:11">
      <c r="B71">
        <v>40</v>
      </c>
      <c r="C71">
        <f t="shared" ca="1" si="7"/>
        <v>97.434240877373554</v>
      </c>
      <c r="E71">
        <f ca="1"/>
        <v>99.850498821287928</v>
      </c>
      <c r="F71">
        <f ca="1"/>
        <v>99.763038292677294</v>
      </c>
      <c r="G71">
        <f ca="1"/>
        <v>79.973569359920887</v>
      </c>
      <c r="H71">
        <f ca="1"/>
        <v>98.006363392161944</v>
      </c>
      <c r="J71">
        <f t="shared" ca="1" si="8"/>
        <v>99.767266938282546</v>
      </c>
      <c r="K71">
        <f t="shared" ca="1" si="9"/>
        <v>97.134492429955159</v>
      </c>
    </row>
    <row r="72" spans="2:11">
      <c r="B72">
        <v>45</v>
      </c>
      <c r="C72">
        <f t="shared" ca="1" si="7"/>
        <v>96.929211582547097</v>
      </c>
      <c r="E72">
        <f ca="1"/>
        <v>99.739958935353712</v>
      </c>
      <c r="F72">
        <f ca="1"/>
        <v>99.75653229233869</v>
      </c>
      <c r="G72">
        <f ca="1"/>
        <v>78.337465194292349</v>
      </c>
      <c r="H72">
        <f ca="1"/>
        <v>97.492173449111505</v>
      </c>
      <c r="J72">
        <f t="shared" ca="1" si="8"/>
        <v>99.755730983973734</v>
      </c>
      <c r="K72">
        <f t="shared" ca="1" si="9"/>
        <v>96.566058844405177</v>
      </c>
    </row>
    <row r="73" spans="2:11">
      <c r="B73">
        <v>50</v>
      </c>
      <c r="C73">
        <f t="shared" ca="1" si="7"/>
        <v>96.515164300820942</v>
      </c>
      <c r="E73">
        <f ca="1"/>
        <v>99.594381730503585</v>
      </c>
      <c r="F73">
        <f ca="1"/>
        <v>99.750026292000086</v>
      </c>
      <c r="G73">
        <f ca="1"/>
        <v>76.701361028663825</v>
      </c>
      <c r="H73">
        <f ca="1"/>
        <v>97.086099927962948</v>
      </c>
      <c r="J73">
        <f t="shared" ca="1" si="8"/>
        <v>99.742501003719653</v>
      </c>
      <c r="K73">
        <f t="shared" ca="1" si="9"/>
        <v>96.100514339468461</v>
      </c>
    </row>
    <row r="74" spans="2:11">
      <c r="B74">
        <v>55</v>
      </c>
      <c r="C74">
        <f t="shared" ca="1" si="7"/>
        <v>96.583427016897076</v>
      </c>
      <c r="E74">
        <f ca="1"/>
        <v>99.258528682580263</v>
      </c>
      <c r="F74">
        <f ca="1"/>
        <v>99.789819666934605</v>
      </c>
      <c r="G74">
        <f ca="1"/>
        <v>75.453596578272865</v>
      </c>
      <c r="H74">
        <f ca="1"/>
        <v>97.227519825837163</v>
      </c>
      <c r="J74">
        <f t="shared" ca="1" si="8"/>
        <v>99.764132178855235</v>
      </c>
      <c r="K74">
        <f t="shared" ca="1" si="9"/>
        <v>96.174768301091248</v>
      </c>
    </row>
    <row r="75" spans="2:11">
      <c r="B75">
        <v>60</v>
      </c>
      <c r="C75">
        <f t="shared" ca="1" si="7"/>
        <v>95.018793548967707</v>
      </c>
      <c r="E75">
        <f ca="1"/>
        <v>98.92267563465694</v>
      </c>
      <c r="F75">
        <f ca="1"/>
        <v>99.839557427290828</v>
      </c>
      <c r="G75">
        <f ca="1"/>
        <v>74.217055925581789</v>
      </c>
      <c r="H75">
        <f ca="1"/>
        <v>95.430781217608114</v>
      </c>
      <c r="J75">
        <f t="shared" ca="1" si="8"/>
        <v>99.795226936444848</v>
      </c>
      <c r="K75">
        <f t="shared" ca="1" si="9"/>
        <v>94.405114809547285</v>
      </c>
    </row>
    <row r="76" spans="2:11">
      <c r="B76">
        <v>65</v>
      </c>
      <c r="C76">
        <f t="shared" ca="1" si="7"/>
        <v>93.8808656891959</v>
      </c>
      <c r="E76">
        <f ca="1"/>
        <v>98.567693225326451</v>
      </c>
      <c r="F76">
        <f ca="1"/>
        <v>99.871622328734006</v>
      </c>
      <c r="G76">
        <f ca="1"/>
        <v>73.001850880891794</v>
      </c>
      <c r="H76">
        <f ca="1"/>
        <v>94.141347469602636</v>
      </c>
      <c r="J76">
        <f t="shared" ca="1" si="8"/>
        <v>99.808578414407421</v>
      </c>
      <c r="K76">
        <f t="shared" ca="1" si="9"/>
        <v>93.119269959128459</v>
      </c>
    </row>
    <row r="77" spans="2:11">
      <c r="B77">
        <v>70</v>
      </c>
      <c r="C77">
        <f t="shared" ca="1" si="7"/>
        <v>92.730363185527125</v>
      </c>
      <c r="E77">
        <f ca="1"/>
        <v>98.2121769476243</v>
      </c>
      <c r="F77">
        <f ca="1"/>
        <v>99.901761581352858</v>
      </c>
      <c r="G77">
        <f ca="1"/>
        <v>71.789094521223973</v>
      </c>
      <c r="H77">
        <f ca="1"/>
        <v>92.837129023321808</v>
      </c>
      <c r="J77">
        <f t="shared" ca="1" si="8"/>
        <v>99.82007153500146</v>
      </c>
      <c r="K77">
        <f t="shared" ca="1" si="9"/>
        <v>91.81947363053601</v>
      </c>
    </row>
    <row r="78" spans="2:11">
      <c r="B78">
        <v>75</v>
      </c>
      <c r="C78">
        <f t="shared" ca="1" si="7"/>
        <v>91.138134675197435</v>
      </c>
      <c r="E78">
        <f ca="1"/>
        <v>97.853962764986377</v>
      </c>
      <c r="F78">
        <f ca="1"/>
        <v>99.878768439151415</v>
      </c>
      <c r="G78">
        <f ca="1"/>
        <v>70.642320141862399</v>
      </c>
      <c r="H78">
        <f ca="1"/>
        <v>91.012597676020931</v>
      </c>
      <c r="J78">
        <f t="shared" ca="1" si="8"/>
        <v>99.780870727445745</v>
      </c>
      <c r="K78">
        <f t="shared" ca="1" si="9"/>
        <v>90.027711282799089</v>
      </c>
    </row>
    <row r="79" spans="2:11">
      <c r="B79">
        <v>80</v>
      </c>
      <c r="C79">
        <f t="shared" ca="1" si="7"/>
        <v>89.548420255976467</v>
      </c>
      <c r="E79">
        <f ca="1"/>
        <v>97.493136133269388</v>
      </c>
      <c r="F79">
        <f ca="1"/>
        <v>99.847550169535822</v>
      </c>
      <c r="G79">
        <f ca="1"/>
        <v>69.575361085914636</v>
      </c>
      <c r="H79">
        <f ca="1"/>
        <v>89.188066328720055</v>
      </c>
      <c r="J79">
        <f t="shared" ca="1" si="8"/>
        <v>99.733716160920039</v>
      </c>
      <c r="K79">
        <f t="shared" ca="1" si="9"/>
        <v>88.239807941198407</v>
      </c>
    </row>
    <row r="80" spans="2:11">
      <c r="B80">
        <v>85</v>
      </c>
      <c r="C80">
        <f t="shared" ca="1" si="7"/>
        <v>87.814215972123719</v>
      </c>
      <c r="E80">
        <f ca="1"/>
        <v>97.116968093621395</v>
      </c>
      <c r="F80">
        <f ca="1"/>
        <v>99.676680324521584</v>
      </c>
      <c r="G80">
        <f ca="1"/>
        <v>68.660468274374878</v>
      </c>
      <c r="H80">
        <f ca="1"/>
        <v>87.202513759743624</v>
      </c>
      <c r="J80">
        <f t="shared" ca="1" si="8"/>
        <v>99.552920314745108</v>
      </c>
      <c r="K80">
        <f t="shared" ca="1" si="9"/>
        <v>86.306020902912522</v>
      </c>
    </row>
    <row r="81" spans="2:11">
      <c r="B81">
        <v>90</v>
      </c>
      <c r="C81">
        <f t="shared" ca="1" si="7"/>
        <v>86.078353787152466</v>
      </c>
      <c r="E81">
        <f ca="1"/>
        <v>96.744043614732561</v>
      </c>
      <c r="F81">
        <f ca="1"/>
        <v>99.504950432967192</v>
      </c>
      <c r="G81">
        <f ca="1"/>
        <v>67.772815327444903</v>
      </c>
      <c r="H81">
        <f ca="1"/>
        <v>85.213700618144657</v>
      </c>
      <c r="J81">
        <f t="shared" ca="1" si="8"/>
        <v>99.371462828113849</v>
      </c>
      <c r="K81">
        <f t="shared" ca="1" si="9"/>
        <v>84.370447963400565</v>
      </c>
    </row>
    <row r="82" spans="2:11">
      <c r="B82">
        <v>95</v>
      </c>
      <c r="C82">
        <f t="shared" ca="1" si="7"/>
        <v>84.313770556746306</v>
      </c>
      <c r="E82">
        <f ca="1"/>
        <v>96.378863780709693</v>
      </c>
      <c r="F82">
        <f ca="1"/>
        <v>99.067745616251827</v>
      </c>
      <c r="G82">
        <f ca="1"/>
        <v>66.885162380514927</v>
      </c>
      <c r="H82">
        <f ca="1"/>
        <v>83.224887476545661</v>
      </c>
      <c r="J82">
        <f t="shared" ca="1" si="8"/>
        <v>98.937740360880809</v>
      </c>
      <c r="K82">
        <f t="shared" ca="1" si="9"/>
        <v>82.434875023888566</v>
      </c>
    </row>
    <row r="83" spans="2:11">
      <c r="B83">
        <v>100</v>
      </c>
      <c r="C83">
        <f t="shared" ca="1" si="7"/>
        <v>82.549187326340189</v>
      </c>
      <c r="E83">
        <f ca="1"/>
        <v>96.013683946686811</v>
      </c>
      <c r="F83">
        <f ca="1"/>
        <v>98.630540799536618</v>
      </c>
      <c r="G83">
        <f ca="1"/>
        <v>65.997509433584966</v>
      </c>
      <c r="H83">
        <f ca="1"/>
        <v>81.236074334946665</v>
      </c>
      <c r="J83">
        <f t="shared" ca="1" si="8"/>
        <v>98.504017893647912</v>
      </c>
      <c r="K83">
        <f t="shared" ca="1" si="9"/>
        <v>80.499302084376581</v>
      </c>
    </row>
    <row r="86" spans="2:11">
      <c r="B86" t="s">
        <v>5</v>
      </c>
      <c r="C86" s="4">
        <f ca="1">'Tapping design'!M84</f>
        <v>268.18054900597076</v>
      </c>
      <c r="E86">
        <f ca="1">IF(AND(0&lt;=C86,C86&lt;=$C$2),$C$2,IF(AND(0&lt;C86,C86&lt;=$G$2),$C$2,IF(AND($G$2&lt;C86,C86&lt;=$K$2),$G$2,IF($K$2&lt;C86,$K$2,"false"))))</f>
        <v>300</v>
      </c>
      <c r="F86">
        <f ca="1">IF(AND(0&lt;=C86,C86&lt;=$C$2),$C$2,IF(AND(0&lt;C86,C86&lt;=$G$2),$C$2,IF(AND($G$2&lt;C86,C86&lt;=$K$2),$G$2,IF($K$2&lt;C86,$K$2,"false"))))</f>
        <v>300</v>
      </c>
      <c r="G86">
        <f ca="1">IF(AND(0&lt;=C86,C86&lt;=$C$2),$C$2,IF(AND($C$2&lt;C86,C86&lt;=$G$2),$G$2,IF(AND($G$2&lt;C86,C86&lt;=$K$2),$K$2,IF($K$2&lt;C86,$K$2,"false"))))</f>
        <v>300</v>
      </c>
      <c r="H86">
        <f ca="1">IF(AND(0&lt;=C86,C86&lt;=$C$2),$C$2,IF(AND($C$2&lt;C86,C86&lt;=$G$2),$G$2,IF(AND($G$2&lt;C86,C86&lt;=$K$2),$K$2,IF($K$2&lt;C86,$K$2,"false"))))</f>
        <v>300</v>
      </c>
      <c r="J86">
        <f ca="1">F86</f>
        <v>300</v>
      </c>
      <c r="K86">
        <f ca="1">H86</f>
        <v>300</v>
      </c>
    </row>
    <row r="87" spans="2:11">
      <c r="B87" t="s">
        <v>32</v>
      </c>
      <c r="C87" s="4">
        <f ca="1">'Tapping design'!M85</f>
        <v>17.450930044504478</v>
      </c>
      <c r="E87">
        <f ca="1">IF(AND(0&lt;=C87,C87&lt;=$C$3),$C$3,IF(AND($C$3&lt;C87,C87&lt;=$D$3),$C$3,IF(AND($D$3&lt;C87,C87&lt;=$E$3),$D$3,IF(AND($E$3&lt;C87,C87&lt;=$F$3),$E$3,IF($F$3&lt;C87,$F$3,"false")))))</f>
        <v>30</v>
      </c>
      <c r="F87">
        <f ca="1">IF(AND(0&lt;=C87,C87&lt;=$C$3),$C$3,IF(AND($C$3&lt;C87,C87&lt;=$D$3),$D$3,IF(AND($D$3&lt;C87,C87&lt;=$E$3),$E$3,IF(AND($E$3&lt;C87,C87&lt;=$F$3),$F$3,IF($F$3&lt;C87,$F$3,"false")))))</f>
        <v>30</v>
      </c>
      <c r="G87">
        <f ca="1">IF(AND(0&lt;=C87,C87&lt;=$C$3),$C$3,IF(AND($C$3&lt;C87,C87&lt;=$D$3),$C$3,IF(AND($D$3&lt;C87,C87&lt;=$E$3),$D$3,IF(AND($E$3&lt;C87,C87&lt;=$F$3),$E$3,IF($F$3&lt;C87,$F$3,"false")))))</f>
        <v>30</v>
      </c>
      <c r="H87">
        <f ca="1">IF(AND(0&lt;=C87,C87&lt;=$C$3),$C$3,IF(AND($C$3&lt;C87,C87&lt;=$D$3),$D$3,IF(AND($D$3&lt;C87,C87&lt;=$E$3),$E$3,IF(AND($E$3&lt;C87,C87&lt;=$F$3),$F$3,IF($F$3&lt;C87,$F$3,"false")))))</f>
        <v>30</v>
      </c>
      <c r="J87" s="4">
        <f ca="1">C87</f>
        <v>17.450930044504478</v>
      </c>
      <c r="K87" s="4">
        <f ca="1">C87</f>
        <v>17.450930044504478</v>
      </c>
    </row>
    <row r="88" spans="2:11">
      <c r="B88" t="s">
        <v>33</v>
      </c>
      <c r="E88">
        <f ca="1">(E86*100)+E87</f>
        <v>30030</v>
      </c>
      <c r="F88">
        <f t="shared" ref="F88" ca="1" si="10">(F86*100)+F87</f>
        <v>30030</v>
      </c>
      <c r="G88">
        <f t="shared" ref="G88" ca="1" si="11">(G86*100)+G87</f>
        <v>30030</v>
      </c>
      <c r="H88">
        <f t="shared" ref="H88" ca="1" si="12">(H86*100)+H87</f>
        <v>30030</v>
      </c>
    </row>
    <row r="89" spans="2:11">
      <c r="B89" t="s">
        <v>9</v>
      </c>
      <c r="C89" t="s">
        <v>34</v>
      </c>
      <c r="E89" t="s">
        <v>34</v>
      </c>
      <c r="F89" t="s">
        <v>34</v>
      </c>
      <c r="G89" t="s">
        <v>34</v>
      </c>
      <c r="H89" t="s">
        <v>34</v>
      </c>
      <c r="J89" t="s">
        <v>34</v>
      </c>
      <c r="K89" t="s">
        <v>34</v>
      </c>
    </row>
    <row r="90" spans="2:11">
      <c r="B90" t="s">
        <v>8</v>
      </c>
      <c r="C90" t="s">
        <v>8</v>
      </c>
      <c r="E90" t="s">
        <v>8</v>
      </c>
      <c r="F90" t="s">
        <v>8</v>
      </c>
      <c r="G90" t="s">
        <v>8</v>
      </c>
      <c r="H90" t="s">
        <v>8</v>
      </c>
      <c r="J90" t="s">
        <v>8</v>
      </c>
      <c r="K90" t="s">
        <v>8</v>
      </c>
    </row>
    <row r="91" spans="2:11">
      <c r="B91">
        <v>0</v>
      </c>
      <c r="C91">
        <f ca="1">IF($C$86&lt;$C$2,J91,FORECAST($C$86,OFFSET(J91:K91,0,MATCH($C$86,$J$86:$K$86,1)-1,1,2),OFFSET($J$86:$K$86,0,MATCH($C$86,$J$86:$K$86,1)-1,1,2)))</f>
        <v>99.961038707222144</v>
      </c>
      <c r="E91" cm="1">
        <f t="array" aca="1" ref="E91:E111" ca="1">(INDEX(C7:N27,0,MATCH(E88,C4:N4,0)))</f>
        <v>99.961038707222144</v>
      </c>
      <c r="F91" cm="1">
        <f t="array" aca="1" ref="F91:F111" ca="1">(INDEX(C7:N27,0,MATCH(F88,C4:N4,0)))</f>
        <v>99.961038707222144</v>
      </c>
      <c r="G91" cm="1">
        <f t="array" aca="1" ref="G91:G111" ca="1">(INDEX(C7:N27,0,MATCH(G88,C4:N4,0)))</f>
        <v>99.961038707222144</v>
      </c>
      <c r="H91" cm="1">
        <f t="array" aca="1" ref="H91:H111" ca="1">(INDEX(C7:N27,0,MATCH(H88,C4:N4,0)))</f>
        <v>99.961038707222144</v>
      </c>
      <c r="J91">
        <f ca="1">IF($J$87&lt;$C$3,E91,FORECAST($J$87,OFFSET(E91:F91,0,MATCH($J$87,$E$87:$F$87,1)-1,1,2),OFFSET($E$87:$F$87,0,MATCH($J$87,$E$87:$F$87,1)-1,1,2)))</f>
        <v>99.961038707222144</v>
      </c>
      <c r="K91">
        <f ca="1">IF($K$87&lt;$C$3,G91,FORECAST($K$87,OFFSET(G91:H91,0,MATCH($K$87,$G$87:$H$87,1)-1,1,2),OFFSET($G$87:$H$87,0,MATCH($K$87,$G$87:$H$87,1)-1,1,2)))</f>
        <v>99.961038707222144</v>
      </c>
    </row>
    <row r="92" spans="2:11">
      <c r="B92">
        <v>5</v>
      </c>
      <c r="C92">
        <f t="shared" ref="C92:C111" ca="1" si="13">IF($C$86&lt;$C$2,J92,FORECAST($C$86,OFFSET(J92:K92,0,MATCH($C$86,$J$86:$K$86,1)-1,1,2),OFFSET($J$86:$K$86,0,MATCH($C$86,$J$86:$K$86,1)-1,1,2)))</f>
        <v>99.961038707222144</v>
      </c>
      <c r="E92">
        <f ca="1"/>
        <v>99.961038707222144</v>
      </c>
      <c r="F92">
        <f ca="1"/>
        <v>99.961038707222144</v>
      </c>
      <c r="G92">
        <f ca="1"/>
        <v>99.961038707222144</v>
      </c>
      <c r="H92">
        <f ca="1"/>
        <v>99.961038707222144</v>
      </c>
      <c r="J92">
        <f t="shared" ref="J92:J111" ca="1" si="14">IF($J$87&lt;$C$3,E92,FORECAST($J$87,OFFSET(E92:F92,0,MATCH($J$87,$E$87:$F$87,1)-1,1,2),OFFSET($E$87:$F$87,0,MATCH($J$87,$E$87:$F$87,1)-1,1,2)))</f>
        <v>99.961038707222144</v>
      </c>
      <c r="K92">
        <f t="shared" ref="K92:K111" ca="1" si="15">IF($K$87&lt;$C$3,G92,FORECAST($K$87,OFFSET(G92:H92,0,MATCH($K$87,$G$87:$H$87,1)-1,1,2),OFFSET($G$87:$H$87,0,MATCH($K$87,$G$87:$H$87,1)-1,1,2)))</f>
        <v>99.961038707222144</v>
      </c>
    </row>
    <row r="93" spans="2:11">
      <c r="B93">
        <v>10</v>
      </c>
      <c r="C93">
        <f t="shared" ca="1" si="13"/>
        <v>99.961038707222144</v>
      </c>
      <c r="E93">
        <f ca="1"/>
        <v>99.961038707222144</v>
      </c>
      <c r="F93">
        <f ca="1"/>
        <v>99.961038707222144</v>
      </c>
      <c r="G93">
        <f ca="1"/>
        <v>99.961038707222144</v>
      </c>
      <c r="H93">
        <f ca="1"/>
        <v>99.961038707222144</v>
      </c>
      <c r="J93">
        <f t="shared" ca="1" si="14"/>
        <v>99.961038707222144</v>
      </c>
      <c r="K93">
        <f t="shared" ca="1" si="15"/>
        <v>99.961038707222144</v>
      </c>
    </row>
    <row r="94" spans="2:11">
      <c r="B94">
        <v>15</v>
      </c>
      <c r="C94">
        <f t="shared" ca="1" si="13"/>
        <v>99.961038707222144</v>
      </c>
      <c r="E94">
        <f ca="1"/>
        <v>99.961038707222144</v>
      </c>
      <c r="F94">
        <f ca="1"/>
        <v>99.961038707222144</v>
      </c>
      <c r="G94">
        <f ca="1"/>
        <v>99.961038707222144</v>
      </c>
      <c r="H94">
        <f ca="1"/>
        <v>99.961038707222144</v>
      </c>
      <c r="J94">
        <f t="shared" ca="1" si="14"/>
        <v>99.961038707222144</v>
      </c>
      <c r="K94">
        <f t="shared" ca="1" si="15"/>
        <v>99.961038707222144</v>
      </c>
    </row>
    <row r="95" spans="2:11">
      <c r="B95">
        <v>20</v>
      </c>
      <c r="C95">
        <f t="shared" ca="1" si="13"/>
        <v>99.961038707222144</v>
      </c>
      <c r="E95">
        <f ca="1"/>
        <v>99.961038707222144</v>
      </c>
      <c r="F95">
        <f ca="1"/>
        <v>99.961038707222144</v>
      </c>
      <c r="G95">
        <f ca="1"/>
        <v>99.961038707222144</v>
      </c>
      <c r="H95">
        <f ca="1"/>
        <v>99.961038707222144</v>
      </c>
      <c r="J95">
        <f t="shared" ca="1" si="14"/>
        <v>99.961038707222144</v>
      </c>
      <c r="K95">
        <f t="shared" ca="1" si="15"/>
        <v>99.961038707222144</v>
      </c>
    </row>
    <row r="96" spans="2:11">
      <c r="B96">
        <v>25</v>
      </c>
      <c r="C96">
        <f t="shared" ca="1" si="13"/>
        <v>99.961038707222144</v>
      </c>
      <c r="E96">
        <f ca="1"/>
        <v>99.961038707222144</v>
      </c>
      <c r="F96">
        <f ca="1"/>
        <v>99.961038707222144</v>
      </c>
      <c r="G96">
        <f ca="1"/>
        <v>99.961038707222144</v>
      </c>
      <c r="H96">
        <f ca="1"/>
        <v>99.961038707222144</v>
      </c>
      <c r="J96">
        <f t="shared" ca="1" si="14"/>
        <v>99.961038707222144</v>
      </c>
      <c r="K96">
        <f t="shared" ca="1" si="15"/>
        <v>99.961038707222144</v>
      </c>
    </row>
    <row r="97" spans="2:11">
      <c r="B97">
        <v>30</v>
      </c>
      <c r="C97">
        <f t="shared" ca="1" si="13"/>
        <v>99.961038707222144</v>
      </c>
      <c r="E97">
        <f ca="1"/>
        <v>99.961038707222144</v>
      </c>
      <c r="F97">
        <f ca="1"/>
        <v>99.961038707222144</v>
      </c>
      <c r="G97">
        <f ca="1"/>
        <v>99.961038707222144</v>
      </c>
      <c r="H97">
        <f ca="1"/>
        <v>99.961038707222144</v>
      </c>
      <c r="J97">
        <f t="shared" ca="1" si="14"/>
        <v>99.961038707222144</v>
      </c>
      <c r="K97">
        <f t="shared" ca="1" si="15"/>
        <v>99.961038707222144</v>
      </c>
    </row>
    <row r="98" spans="2:11">
      <c r="B98">
        <v>35</v>
      </c>
      <c r="C98">
        <f t="shared" ca="1" si="13"/>
        <v>99.961038707222144</v>
      </c>
      <c r="E98">
        <f ca="1"/>
        <v>99.961038707222144</v>
      </c>
      <c r="F98">
        <f ca="1"/>
        <v>99.961038707222144</v>
      </c>
      <c r="G98">
        <f ca="1"/>
        <v>99.961038707222144</v>
      </c>
      <c r="H98">
        <f ca="1"/>
        <v>99.961038707222144</v>
      </c>
      <c r="J98">
        <f t="shared" ca="1" si="14"/>
        <v>99.961038707222144</v>
      </c>
      <c r="K98">
        <f t="shared" ca="1" si="15"/>
        <v>99.961038707222144</v>
      </c>
    </row>
    <row r="99" spans="2:11">
      <c r="B99">
        <v>40</v>
      </c>
      <c r="C99">
        <f t="shared" ca="1" si="13"/>
        <v>99.850498821287928</v>
      </c>
      <c r="E99">
        <f ca="1"/>
        <v>99.850498821287928</v>
      </c>
      <c r="F99">
        <f ca="1"/>
        <v>99.850498821287928</v>
      </c>
      <c r="G99">
        <f ca="1"/>
        <v>99.850498821287928</v>
      </c>
      <c r="H99">
        <f ca="1"/>
        <v>99.850498821287928</v>
      </c>
      <c r="J99">
        <f t="shared" ca="1" si="14"/>
        <v>99.850498821287928</v>
      </c>
      <c r="K99">
        <f t="shared" ca="1" si="15"/>
        <v>99.850498821287928</v>
      </c>
    </row>
    <row r="100" spans="2:11">
      <c r="B100">
        <v>45</v>
      </c>
      <c r="C100">
        <f t="shared" ca="1" si="13"/>
        <v>99.739958935353712</v>
      </c>
      <c r="E100">
        <f ca="1"/>
        <v>99.739958935353712</v>
      </c>
      <c r="F100">
        <f ca="1"/>
        <v>99.739958935353712</v>
      </c>
      <c r="G100">
        <f ca="1"/>
        <v>99.739958935353712</v>
      </c>
      <c r="H100">
        <f ca="1"/>
        <v>99.739958935353712</v>
      </c>
      <c r="J100">
        <f t="shared" ca="1" si="14"/>
        <v>99.739958935353712</v>
      </c>
      <c r="K100">
        <f t="shared" ca="1" si="15"/>
        <v>99.739958935353712</v>
      </c>
    </row>
    <row r="101" spans="2:11">
      <c r="B101">
        <v>50</v>
      </c>
      <c r="C101">
        <f t="shared" ca="1" si="13"/>
        <v>99.594381730503585</v>
      </c>
      <c r="E101">
        <f ca="1"/>
        <v>99.594381730503585</v>
      </c>
      <c r="F101">
        <f ca="1"/>
        <v>99.594381730503585</v>
      </c>
      <c r="G101">
        <f ca="1"/>
        <v>99.594381730503585</v>
      </c>
      <c r="H101">
        <f ca="1"/>
        <v>99.594381730503585</v>
      </c>
      <c r="J101">
        <f t="shared" ca="1" si="14"/>
        <v>99.594381730503585</v>
      </c>
      <c r="K101">
        <f t="shared" ca="1" si="15"/>
        <v>99.594381730503585</v>
      </c>
    </row>
    <row r="102" spans="2:11">
      <c r="B102">
        <v>55</v>
      </c>
      <c r="C102">
        <f t="shared" ca="1" si="13"/>
        <v>99.258528682580263</v>
      </c>
      <c r="E102">
        <f ca="1"/>
        <v>99.258528682580263</v>
      </c>
      <c r="F102">
        <f ca="1"/>
        <v>99.258528682580263</v>
      </c>
      <c r="G102">
        <f ca="1"/>
        <v>99.258528682580263</v>
      </c>
      <c r="H102">
        <f ca="1"/>
        <v>99.258528682580263</v>
      </c>
      <c r="J102">
        <f t="shared" ca="1" si="14"/>
        <v>99.258528682580263</v>
      </c>
      <c r="K102">
        <f t="shared" ca="1" si="15"/>
        <v>99.258528682580263</v>
      </c>
    </row>
    <row r="103" spans="2:11">
      <c r="B103">
        <v>60</v>
      </c>
      <c r="C103">
        <f t="shared" ca="1" si="13"/>
        <v>98.92267563465694</v>
      </c>
      <c r="E103">
        <f ca="1"/>
        <v>98.92267563465694</v>
      </c>
      <c r="F103">
        <f ca="1"/>
        <v>98.92267563465694</v>
      </c>
      <c r="G103">
        <f ca="1"/>
        <v>98.92267563465694</v>
      </c>
      <c r="H103">
        <f ca="1"/>
        <v>98.92267563465694</v>
      </c>
      <c r="J103">
        <f t="shared" ca="1" si="14"/>
        <v>98.92267563465694</v>
      </c>
      <c r="K103">
        <f t="shared" ca="1" si="15"/>
        <v>98.92267563465694</v>
      </c>
    </row>
    <row r="104" spans="2:11">
      <c r="B104">
        <v>65</v>
      </c>
      <c r="C104">
        <f t="shared" ca="1" si="13"/>
        <v>98.567693225326451</v>
      </c>
      <c r="E104">
        <f ca="1"/>
        <v>98.567693225326451</v>
      </c>
      <c r="F104">
        <f ca="1"/>
        <v>98.567693225326451</v>
      </c>
      <c r="G104">
        <f ca="1"/>
        <v>98.567693225326451</v>
      </c>
      <c r="H104">
        <f ca="1"/>
        <v>98.567693225326451</v>
      </c>
      <c r="J104">
        <f t="shared" ca="1" si="14"/>
        <v>98.567693225326451</v>
      </c>
      <c r="K104">
        <f t="shared" ca="1" si="15"/>
        <v>98.567693225326451</v>
      </c>
    </row>
    <row r="105" spans="2:11">
      <c r="B105">
        <v>70</v>
      </c>
      <c r="C105">
        <f t="shared" ca="1" si="13"/>
        <v>98.2121769476243</v>
      </c>
      <c r="E105">
        <f ca="1"/>
        <v>98.2121769476243</v>
      </c>
      <c r="F105">
        <f ca="1"/>
        <v>98.2121769476243</v>
      </c>
      <c r="G105">
        <f ca="1"/>
        <v>98.2121769476243</v>
      </c>
      <c r="H105">
        <f ca="1"/>
        <v>98.2121769476243</v>
      </c>
      <c r="J105">
        <f t="shared" ca="1" si="14"/>
        <v>98.2121769476243</v>
      </c>
      <c r="K105">
        <f t="shared" ca="1" si="15"/>
        <v>98.2121769476243</v>
      </c>
    </row>
    <row r="106" spans="2:11">
      <c r="B106">
        <v>75</v>
      </c>
      <c r="C106">
        <f t="shared" ca="1" si="13"/>
        <v>97.853962764986377</v>
      </c>
      <c r="E106">
        <f ca="1"/>
        <v>97.853962764986377</v>
      </c>
      <c r="F106">
        <f ca="1"/>
        <v>97.853962764986377</v>
      </c>
      <c r="G106">
        <f ca="1"/>
        <v>97.853962764986377</v>
      </c>
      <c r="H106">
        <f ca="1"/>
        <v>97.853962764986377</v>
      </c>
      <c r="J106">
        <f t="shared" ca="1" si="14"/>
        <v>97.853962764986377</v>
      </c>
      <c r="K106">
        <f t="shared" ca="1" si="15"/>
        <v>97.853962764986377</v>
      </c>
    </row>
    <row r="107" spans="2:11">
      <c r="B107">
        <v>80</v>
      </c>
      <c r="C107">
        <f t="shared" ca="1" si="13"/>
        <v>97.493136133269388</v>
      </c>
      <c r="E107">
        <f ca="1"/>
        <v>97.493136133269388</v>
      </c>
      <c r="F107">
        <f ca="1"/>
        <v>97.493136133269388</v>
      </c>
      <c r="G107">
        <f ca="1"/>
        <v>97.493136133269388</v>
      </c>
      <c r="H107">
        <f ca="1"/>
        <v>97.493136133269388</v>
      </c>
      <c r="J107">
        <f t="shared" ca="1" si="14"/>
        <v>97.493136133269388</v>
      </c>
      <c r="K107">
        <f t="shared" ca="1" si="15"/>
        <v>97.493136133269388</v>
      </c>
    </row>
    <row r="108" spans="2:11">
      <c r="B108">
        <v>85</v>
      </c>
      <c r="C108">
        <f t="shared" ca="1" si="13"/>
        <v>97.116968093621395</v>
      </c>
      <c r="E108">
        <f ca="1"/>
        <v>97.116968093621395</v>
      </c>
      <c r="F108">
        <f ca="1"/>
        <v>97.116968093621395</v>
      </c>
      <c r="G108">
        <f ca="1"/>
        <v>97.116968093621395</v>
      </c>
      <c r="H108">
        <f ca="1"/>
        <v>97.116968093621395</v>
      </c>
      <c r="J108">
        <f t="shared" ca="1" si="14"/>
        <v>97.116968093621395</v>
      </c>
      <c r="K108">
        <f t="shared" ca="1" si="15"/>
        <v>97.116968093621395</v>
      </c>
    </row>
    <row r="109" spans="2:11">
      <c r="B109">
        <v>90</v>
      </c>
      <c r="C109">
        <f t="shared" ca="1" si="13"/>
        <v>96.744043614732561</v>
      </c>
      <c r="E109">
        <f ca="1"/>
        <v>96.744043614732561</v>
      </c>
      <c r="F109">
        <f ca="1"/>
        <v>96.744043614732561</v>
      </c>
      <c r="G109">
        <f ca="1"/>
        <v>96.744043614732561</v>
      </c>
      <c r="H109">
        <f ca="1"/>
        <v>96.744043614732561</v>
      </c>
      <c r="J109">
        <f t="shared" ca="1" si="14"/>
        <v>96.744043614732561</v>
      </c>
      <c r="K109">
        <f t="shared" ca="1" si="15"/>
        <v>96.744043614732561</v>
      </c>
    </row>
    <row r="110" spans="2:11">
      <c r="B110">
        <v>95</v>
      </c>
      <c r="C110">
        <f t="shared" ca="1" si="13"/>
        <v>96.378863780709693</v>
      </c>
      <c r="E110">
        <f ca="1"/>
        <v>96.378863780709693</v>
      </c>
      <c r="F110">
        <f ca="1"/>
        <v>96.378863780709693</v>
      </c>
      <c r="G110">
        <f ca="1"/>
        <v>96.378863780709693</v>
      </c>
      <c r="H110">
        <f ca="1"/>
        <v>96.378863780709693</v>
      </c>
      <c r="J110">
        <f t="shared" ca="1" si="14"/>
        <v>96.378863780709693</v>
      </c>
      <c r="K110">
        <f t="shared" ca="1" si="15"/>
        <v>96.378863780709693</v>
      </c>
    </row>
    <row r="111" spans="2:11">
      <c r="B111">
        <v>100</v>
      </c>
      <c r="C111">
        <f t="shared" ca="1" si="13"/>
        <v>96.013683946686811</v>
      </c>
      <c r="E111">
        <f ca="1"/>
        <v>96.013683946686811</v>
      </c>
      <c r="F111">
        <f ca="1"/>
        <v>96.013683946686811</v>
      </c>
      <c r="G111">
        <f ca="1"/>
        <v>96.013683946686811</v>
      </c>
      <c r="H111">
        <f ca="1"/>
        <v>96.013683946686811</v>
      </c>
      <c r="J111">
        <f t="shared" ca="1" si="14"/>
        <v>96.013683946686811</v>
      </c>
      <c r="K111">
        <f t="shared" ca="1" si="15"/>
        <v>96.013683946686811</v>
      </c>
    </row>
  </sheetData>
  <mergeCells count="3">
    <mergeCell ref="C2:F2"/>
    <mergeCell ref="G2:J2"/>
    <mergeCell ref="K2:N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mkacha</dc:creator>
  <cp:keywords/>
  <dc:description/>
  <cp:lastModifiedBy>Hamidreza Asaadian</cp:lastModifiedBy>
  <cp:revision/>
  <dcterms:created xsi:type="dcterms:W3CDTF">2022-02-24T14:43:23Z</dcterms:created>
  <dcterms:modified xsi:type="dcterms:W3CDTF">2023-06-15T22:03:45Z</dcterms:modified>
  <cp:category/>
  <cp:contentStatus/>
</cp:coreProperties>
</file>